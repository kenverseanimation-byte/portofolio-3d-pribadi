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 O G\Documents\food cost\"/>
    </mc:Choice>
  </mc:AlternateContent>
  <xr:revisionPtr revIDLastSave="0" documentId="13_ncr:1_{D5FF1914-9D4B-4475-8B8C-0689CA5501ED}" xr6:coauthVersionLast="43" xr6:coauthVersionMax="43" xr10:uidLastSave="{00000000-0000-0000-0000-000000000000}"/>
  <bookViews>
    <workbookView xWindow="-110" yWindow="-110" windowWidth="19420" windowHeight="10420" firstSheet="4" activeTab="8" xr2:uid="{917B4607-4887-4E50-BAA6-2B215A45FBBC}"/>
  </bookViews>
  <sheets>
    <sheet name="chicken salad hawaiian" sheetId="1" r:id="rId1"/>
    <sheet name="shrimp bisque" sheetId="2" r:id="rId2"/>
    <sheet name="chicken curdon bleu" sheetId="3" r:id="rId3"/>
    <sheet name="onion bread" sheetId="4" r:id="rId4"/>
    <sheet name="black forest cake" sheetId="5" r:id="rId5"/>
    <sheet name="caesar salad" sheetId="6" r:id="rId6"/>
    <sheet name="fish chowder" sheetId="7" r:id="rId7"/>
    <sheet name="breaded chicken cutlet" sheetId="8" r:id="rId8"/>
    <sheet name="focaccia bread" sheetId="11" r:id="rId9"/>
    <sheet name="fruit cake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14" i="11" l="1"/>
  <c r="H15" i="11"/>
  <c r="H16" i="11"/>
  <c r="H17" i="11"/>
  <c r="H18" i="11"/>
  <c r="H19" i="11"/>
  <c r="H13" i="11"/>
  <c r="H20" i="11" l="1"/>
  <c r="H21" i="11"/>
  <c r="H22" i="11" s="1"/>
  <c r="H23" i="11" s="1"/>
  <c r="H103" i="8"/>
  <c r="H104" i="8"/>
  <c r="H21" i="4"/>
  <c r="H22" i="4" s="1"/>
  <c r="H26" i="11" l="1"/>
  <c r="H25" i="11"/>
  <c r="H142" i="3"/>
  <c r="H122" i="10" l="1"/>
  <c r="H123" i="10"/>
  <c r="H124" i="10"/>
  <c r="H125" i="10"/>
  <c r="H126" i="10"/>
  <c r="H116" i="10"/>
  <c r="H117" i="10"/>
  <c r="H118" i="10"/>
  <c r="H119" i="10"/>
  <c r="H120" i="10"/>
  <c r="H121" i="10"/>
  <c r="H22" i="7" l="1"/>
  <c r="H21" i="7"/>
  <c r="H20" i="7"/>
  <c r="H19" i="7"/>
  <c r="H18" i="7"/>
  <c r="H17" i="7"/>
  <c r="H16" i="7"/>
  <c r="H15" i="7"/>
  <c r="H14" i="7"/>
  <c r="H13" i="7"/>
  <c r="H23" i="7" l="1"/>
  <c r="H24" i="7"/>
  <c r="H25" i="7" s="1"/>
  <c r="H26" i="7" s="1"/>
  <c r="H29" i="7" l="1"/>
  <c r="H28" i="7"/>
  <c r="H115" i="10" l="1"/>
  <c r="H127" i="10" s="1"/>
  <c r="H128" i="10" s="1"/>
  <c r="H129" i="10" s="1"/>
  <c r="H130" i="10" s="1"/>
  <c r="H91" i="10"/>
  <c r="H92" i="10"/>
  <c r="H93" i="10"/>
  <c r="H94" i="10"/>
  <c r="H90" i="10"/>
  <c r="H64" i="10"/>
  <c r="H65" i="10"/>
  <c r="H66" i="10"/>
  <c r="H67" i="10"/>
  <c r="H68" i="10"/>
  <c r="H63" i="10"/>
  <c r="H41" i="10"/>
  <c r="H40" i="10"/>
  <c r="H39" i="10"/>
  <c r="H38" i="10"/>
  <c r="H37" i="10"/>
  <c r="H42" i="10" s="1"/>
  <c r="H14" i="10"/>
  <c r="H15" i="10"/>
  <c r="H16" i="10"/>
  <c r="H72" i="5"/>
  <c r="H64" i="5"/>
  <c r="H65" i="5"/>
  <c r="H66" i="5"/>
  <c r="H67" i="5"/>
  <c r="H68" i="5"/>
  <c r="H69" i="5"/>
  <c r="H70" i="5"/>
  <c r="H71" i="5"/>
  <c r="H63" i="5"/>
  <c r="H42" i="5"/>
  <c r="H41" i="5"/>
  <c r="H40" i="5"/>
  <c r="H39" i="5"/>
  <c r="H38" i="5"/>
  <c r="H133" i="10" l="1"/>
  <c r="H132" i="10"/>
  <c r="H95" i="10"/>
  <c r="H96" i="10" s="1"/>
  <c r="H97" i="10" s="1"/>
  <c r="H98" i="10" s="1"/>
  <c r="H69" i="10"/>
  <c r="H70" i="10" s="1"/>
  <c r="H71" i="10" s="1"/>
  <c r="H72" i="10" s="1"/>
  <c r="H73" i="5"/>
  <c r="H74" i="5" s="1"/>
  <c r="H75" i="5" s="1"/>
  <c r="H76" i="5" s="1"/>
  <c r="H43" i="10"/>
  <c r="H44" i="10"/>
  <c r="H45" i="10" s="1"/>
  <c r="H43" i="5"/>
  <c r="H44" i="5" s="1"/>
  <c r="H45" i="5" s="1"/>
  <c r="H46" i="5" s="1"/>
  <c r="H101" i="10" l="1"/>
  <c r="H100" i="10"/>
  <c r="H75" i="10"/>
  <c r="H74" i="10"/>
  <c r="H48" i="10"/>
  <c r="H47" i="10"/>
  <c r="H79" i="5"/>
  <c r="H78" i="5"/>
  <c r="H49" i="5"/>
  <c r="H48" i="5"/>
  <c r="H14" i="5" l="1"/>
  <c r="H15" i="5"/>
  <c r="H16" i="5"/>
  <c r="H17" i="5"/>
  <c r="H96" i="8"/>
  <c r="H97" i="8"/>
  <c r="H98" i="8"/>
  <c r="H99" i="8"/>
  <c r="H100" i="8"/>
  <c r="H101" i="8"/>
  <c r="H102" i="8"/>
  <c r="H95" i="8"/>
  <c r="H67" i="8"/>
  <c r="H68" i="8"/>
  <c r="H69" i="8"/>
  <c r="H70" i="8"/>
  <c r="H71" i="8"/>
  <c r="H72" i="8"/>
  <c r="H73" i="8"/>
  <c r="H74" i="8"/>
  <c r="H66" i="8"/>
  <c r="H38" i="8"/>
  <c r="H39" i="8"/>
  <c r="H40" i="8"/>
  <c r="H41" i="8"/>
  <c r="H42" i="8"/>
  <c r="H43" i="8"/>
  <c r="H44" i="8"/>
  <c r="H37" i="8"/>
  <c r="H16" i="8"/>
  <c r="H15" i="8"/>
  <c r="H14" i="8"/>
  <c r="H13" i="8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43" i="7"/>
  <c r="H71" i="6"/>
  <c r="H72" i="6"/>
  <c r="H73" i="6"/>
  <c r="H70" i="6"/>
  <c r="H48" i="6"/>
  <c r="H47" i="6"/>
  <c r="H46" i="6"/>
  <c r="H45" i="6"/>
  <c r="H49" i="6" s="1"/>
  <c r="H105" i="8" l="1"/>
  <c r="H106" i="8" s="1"/>
  <c r="H107" i="8" s="1"/>
  <c r="H108" i="8" s="1"/>
  <c r="H75" i="8"/>
  <c r="H76" i="8" s="1"/>
  <c r="H77" i="8" s="1"/>
  <c r="H78" i="8" s="1"/>
  <c r="H45" i="8"/>
  <c r="H46" i="8" s="1"/>
  <c r="H47" i="8" s="1"/>
  <c r="H48" i="8" s="1"/>
  <c r="H17" i="8"/>
  <c r="H18" i="8" s="1"/>
  <c r="H19" i="8" s="1"/>
  <c r="H20" i="8" s="1"/>
  <c r="H59" i="7"/>
  <c r="H60" i="7" s="1"/>
  <c r="H61" i="7" s="1"/>
  <c r="H62" i="7" s="1"/>
  <c r="H74" i="6"/>
  <c r="H75" i="6" s="1"/>
  <c r="H76" i="6" s="1"/>
  <c r="H77" i="6" s="1"/>
  <c r="H50" i="6"/>
  <c r="H51" i="6" s="1"/>
  <c r="H52" i="6" s="1"/>
  <c r="H111" i="8" l="1"/>
  <c r="H110" i="8"/>
  <c r="H81" i="8"/>
  <c r="H80" i="8"/>
  <c r="H51" i="8"/>
  <c r="H50" i="8"/>
  <c r="H23" i="8"/>
  <c r="H22" i="8"/>
  <c r="H65" i="7"/>
  <c r="H64" i="7"/>
  <c r="H80" i="6"/>
  <c r="H79" i="6"/>
  <c r="H55" i="6"/>
  <c r="H54" i="6"/>
  <c r="H14" i="6" l="1"/>
  <c r="H15" i="6"/>
  <c r="H16" i="6"/>
  <c r="H17" i="6"/>
  <c r="H18" i="6"/>
  <c r="H19" i="6"/>
  <c r="H20" i="6"/>
  <c r="H21" i="6"/>
  <c r="H22" i="6"/>
  <c r="H23" i="6"/>
  <c r="H14" i="4"/>
  <c r="H15" i="4"/>
  <c r="H16" i="4"/>
  <c r="H17" i="4"/>
  <c r="H18" i="4"/>
  <c r="H19" i="4"/>
  <c r="H20" i="4"/>
  <c r="H174" i="3"/>
  <c r="H175" i="3"/>
  <c r="H176" i="3"/>
  <c r="H166" i="3"/>
  <c r="H167" i="3"/>
  <c r="H168" i="3"/>
  <c r="H169" i="3"/>
  <c r="H170" i="3"/>
  <c r="H171" i="3"/>
  <c r="H172" i="3"/>
  <c r="H173" i="3"/>
  <c r="H165" i="3"/>
  <c r="H138" i="3"/>
  <c r="H139" i="3"/>
  <c r="H140" i="3"/>
  <c r="H141" i="3"/>
  <c r="H137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16" i="3" s="1"/>
  <c r="H68" i="3"/>
  <c r="H69" i="3"/>
  <c r="H70" i="3"/>
  <c r="H71" i="3"/>
  <c r="H72" i="3"/>
  <c r="H73" i="3"/>
  <c r="H74" i="3"/>
  <c r="H75" i="3"/>
  <c r="H76" i="3"/>
  <c r="H77" i="3"/>
  <c r="H78" i="3"/>
  <c r="H79" i="3"/>
  <c r="H67" i="3"/>
  <c r="H46" i="3"/>
  <c r="H45" i="3"/>
  <c r="H44" i="3"/>
  <c r="H43" i="3"/>
  <c r="H42" i="3"/>
  <c r="H41" i="3"/>
  <c r="H40" i="3"/>
  <c r="H39" i="3"/>
  <c r="H47" i="3" s="1"/>
  <c r="H14" i="3"/>
  <c r="H15" i="3"/>
  <c r="H16" i="3"/>
  <c r="H17" i="3"/>
  <c r="H18" i="3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44" i="2"/>
  <c r="H14" i="2"/>
  <c r="H15" i="2"/>
  <c r="H16" i="2"/>
  <c r="H17" i="2"/>
  <c r="H18" i="2"/>
  <c r="H19" i="2"/>
  <c r="H20" i="2"/>
  <c r="H21" i="2"/>
  <c r="H22" i="2"/>
  <c r="H41" i="1"/>
  <c r="H42" i="1"/>
  <c r="H43" i="1"/>
  <c r="H44" i="1"/>
  <c r="H45" i="1"/>
  <c r="H46" i="1"/>
  <c r="H47" i="1"/>
  <c r="H48" i="1"/>
  <c r="H40" i="1"/>
  <c r="H19" i="1"/>
  <c r="H18" i="1"/>
  <c r="H17" i="1"/>
  <c r="H16" i="1"/>
  <c r="H15" i="1"/>
  <c r="H14" i="1"/>
  <c r="H13" i="1"/>
  <c r="H20" i="1" s="1"/>
  <c r="H143" i="3" l="1"/>
  <c r="H177" i="3"/>
  <c r="H178" i="3" s="1"/>
  <c r="H179" i="3" s="1"/>
  <c r="H180" i="3" s="1"/>
  <c r="H80" i="3"/>
  <c r="H81" i="3" s="1"/>
  <c r="H82" i="3" s="1"/>
  <c r="H83" i="3" s="1"/>
  <c r="H58" i="2"/>
  <c r="H59" i="2" s="1"/>
  <c r="H60" i="2" s="1"/>
  <c r="H61" i="2" s="1"/>
  <c r="H117" i="3"/>
  <c r="H118" i="3" s="1"/>
  <c r="H119" i="3" s="1"/>
  <c r="H48" i="3"/>
  <c r="H49" i="3" s="1"/>
  <c r="H50" i="3" s="1"/>
  <c r="H49" i="1"/>
  <c r="H50" i="1" s="1"/>
  <c r="H51" i="1" s="1"/>
  <c r="H52" i="1" s="1"/>
  <c r="H21" i="1"/>
  <c r="H22" i="1" s="1"/>
  <c r="H23" i="1" s="1"/>
  <c r="H13" i="10"/>
  <c r="H17" i="10" s="1"/>
  <c r="H144" i="3" l="1"/>
  <c r="H145" i="3"/>
  <c r="H146" i="3" s="1"/>
  <c r="H148" i="3" s="1"/>
  <c r="H18" i="10"/>
  <c r="H19" i="10" s="1"/>
  <c r="H20" i="10" s="1"/>
  <c r="H183" i="3"/>
  <c r="H182" i="3"/>
  <c r="H121" i="3"/>
  <c r="H122" i="3"/>
  <c r="H86" i="3"/>
  <c r="H85" i="3"/>
  <c r="H53" i="3"/>
  <c r="H52" i="3"/>
  <c r="H64" i="2"/>
  <c r="H63" i="2"/>
  <c r="H55" i="1"/>
  <c r="H54" i="1"/>
  <c r="H26" i="1"/>
  <c r="H25" i="1"/>
  <c r="H13" i="6"/>
  <c r="H24" i="6" s="1"/>
  <c r="H25" i="6" s="1"/>
  <c r="H26" i="6" s="1"/>
  <c r="H27" i="6" s="1"/>
  <c r="H30" i="6" s="1"/>
  <c r="H13" i="5"/>
  <c r="H18" i="5" s="1"/>
  <c r="H19" i="5" s="1"/>
  <c r="H20" i="5" s="1"/>
  <c r="H21" i="5" s="1"/>
  <c r="H13" i="4"/>
  <c r="H23" i="4" s="1"/>
  <c r="H24" i="4" s="1"/>
  <c r="H25" i="4" s="1"/>
  <c r="H28" i="4" s="1"/>
  <c r="H13" i="3"/>
  <c r="H19" i="3" s="1"/>
  <c r="H20" i="3" s="1"/>
  <c r="H21" i="3" s="1"/>
  <c r="H22" i="3" s="1"/>
  <c r="H25" i="3" s="1"/>
  <c r="H13" i="2"/>
  <c r="H23" i="2" s="1"/>
  <c r="H24" i="2" s="1"/>
  <c r="H25" i="2" s="1"/>
  <c r="H26" i="2" s="1"/>
  <c r="H29" i="2" s="1"/>
  <c r="H149" i="3" l="1"/>
  <c r="H23" i="10"/>
  <c r="H22" i="10"/>
  <c r="H29" i="6"/>
  <c r="H24" i="5"/>
  <c r="H23" i="5"/>
  <c r="H27" i="4"/>
  <c r="H24" i="3"/>
  <c r="H28" i="2"/>
</calcChain>
</file>

<file path=xl/sharedStrings.xml><?xml version="1.0" encoding="utf-8"?>
<sst xmlns="http://schemas.openxmlformats.org/spreadsheetml/2006/main" count="1544" uniqueCount="180">
  <si>
    <t>FOOD COSTING</t>
  </si>
  <si>
    <t>Division</t>
  </si>
  <si>
    <t>Hospitality Management A/2</t>
  </si>
  <si>
    <t>Department</t>
  </si>
  <si>
    <t>Kecak Kitchen</t>
  </si>
  <si>
    <t>Menu Name</t>
  </si>
  <si>
    <t>Date Costed</t>
  </si>
  <si>
    <t>Date Of Cost Review</t>
  </si>
  <si>
    <t>Recipe</t>
  </si>
  <si>
    <t xml:space="preserve">                                                                                          Yield:</t>
  </si>
  <si>
    <t>Ingredients</t>
  </si>
  <si>
    <t>Purchasing Price</t>
  </si>
  <si>
    <t>Total Cost</t>
  </si>
  <si>
    <t>Recipe QTY</t>
  </si>
  <si>
    <t>Unit</t>
  </si>
  <si>
    <t>IDR</t>
  </si>
  <si>
    <t>PER</t>
  </si>
  <si>
    <t>UNIT</t>
  </si>
  <si>
    <t>WASTAGE (%)</t>
  </si>
  <si>
    <t>RECIPE COST</t>
  </si>
  <si>
    <t>gr</t>
  </si>
  <si>
    <t>Mayonaise</t>
  </si>
  <si>
    <t>Salad Oil</t>
  </si>
  <si>
    <t>Egg Yolk</t>
  </si>
  <si>
    <t>ea</t>
  </si>
  <si>
    <t>French Mustard</t>
  </si>
  <si>
    <t>ml</t>
  </si>
  <si>
    <t>White Vinegar</t>
  </si>
  <si>
    <t>Worchestershire Sauce</t>
  </si>
  <si>
    <t>Salt</t>
  </si>
  <si>
    <t>Pepper</t>
  </si>
  <si>
    <t>Fix Cost</t>
  </si>
  <si>
    <t>Variable (15%)</t>
  </si>
  <si>
    <t>Cost Per Tax</t>
  </si>
  <si>
    <t>Selling Price</t>
  </si>
  <si>
    <t>Cost %</t>
  </si>
  <si>
    <t>Margin</t>
  </si>
  <si>
    <t>Chicken Salad Hawaiian</t>
  </si>
  <si>
    <t>Pineapple</t>
  </si>
  <si>
    <t>Apple</t>
  </si>
  <si>
    <t>Celery</t>
  </si>
  <si>
    <t>Iceberg Lettuce</t>
  </si>
  <si>
    <t>Chicken Meat</t>
  </si>
  <si>
    <t>Boiled Egg</t>
  </si>
  <si>
    <t>Cream</t>
  </si>
  <si>
    <t>Parsley Sprigs</t>
  </si>
  <si>
    <t>Fish Stock</t>
  </si>
  <si>
    <t>Fish Bone with Head</t>
  </si>
  <si>
    <t>Onion</t>
  </si>
  <si>
    <t>Carrot</t>
  </si>
  <si>
    <t>Butter</t>
  </si>
  <si>
    <t>White Wine</t>
  </si>
  <si>
    <t>Bay Leave</t>
  </si>
  <si>
    <t>Pepper Corn</t>
  </si>
  <si>
    <t>Parley</t>
  </si>
  <si>
    <t>Clove</t>
  </si>
  <si>
    <t>Shrimps</t>
  </si>
  <si>
    <t>Leek</t>
  </si>
  <si>
    <t>Tomato Paste</t>
  </si>
  <si>
    <t>Brandy</t>
  </si>
  <si>
    <t>Flour</t>
  </si>
  <si>
    <t>Fresh Cream</t>
  </si>
  <si>
    <t>Mash Purple Sweet Potato</t>
  </si>
  <si>
    <t>Purple Sweet Potato</t>
  </si>
  <si>
    <t>Milk</t>
  </si>
  <si>
    <t>Heavy Cream</t>
  </si>
  <si>
    <t xml:space="preserve">Butter </t>
  </si>
  <si>
    <t>White Stock</t>
  </si>
  <si>
    <t>Chicken Bone</t>
  </si>
  <si>
    <t>Bay leave</t>
  </si>
  <si>
    <t>Thyme</t>
  </si>
  <si>
    <t>parsley</t>
  </si>
  <si>
    <t>Chicken Stock</t>
  </si>
  <si>
    <t>Tomato Mediterranian</t>
  </si>
  <si>
    <t>Tomatoes</t>
  </si>
  <si>
    <t>Green Zucchini</t>
  </si>
  <si>
    <t>Yellow Zucchini</t>
  </si>
  <si>
    <t>Red Pepper</t>
  </si>
  <si>
    <t>Green Pepper</t>
  </si>
  <si>
    <t>Basil</t>
  </si>
  <si>
    <t>Parmesan</t>
  </si>
  <si>
    <t>Vegetable Oil</t>
  </si>
  <si>
    <t>Tomato Sauce</t>
  </si>
  <si>
    <t>Bacon</t>
  </si>
  <si>
    <t>Garlic</t>
  </si>
  <si>
    <t>Sugar</t>
  </si>
  <si>
    <t>Tomato</t>
  </si>
  <si>
    <t>Worcestershire Sauce</t>
  </si>
  <si>
    <t>Portuguese Sauce</t>
  </si>
  <si>
    <t>Parsley</t>
  </si>
  <si>
    <t>Chicken Curdon Bleu</t>
  </si>
  <si>
    <t>Chicken Breast</t>
  </si>
  <si>
    <t>Ham</t>
  </si>
  <si>
    <t>Chedar Cheese</t>
  </si>
  <si>
    <t>Egg</t>
  </si>
  <si>
    <t>Bread Crumbs</t>
  </si>
  <si>
    <t>Onion Bread</t>
  </si>
  <si>
    <t>Hard Flour</t>
  </si>
  <si>
    <t>Rye Flour</t>
  </si>
  <si>
    <t>Instant Yeast</t>
  </si>
  <si>
    <t>Bread Improver</t>
  </si>
  <si>
    <t>Caraway Seed</t>
  </si>
  <si>
    <t>White Shortening</t>
  </si>
  <si>
    <t>Caesar Dressing</t>
  </si>
  <si>
    <t>Anchovies</t>
  </si>
  <si>
    <t>Black Pepper</t>
  </si>
  <si>
    <t>Wine Vinegar</t>
  </si>
  <si>
    <t xml:space="preserve">Worchestershire </t>
  </si>
  <si>
    <t>Lemon Juice</t>
  </si>
  <si>
    <t>Mustard</t>
  </si>
  <si>
    <t>Bread</t>
  </si>
  <si>
    <t>Croutons</t>
  </si>
  <si>
    <t>Caesar Salad</t>
  </si>
  <si>
    <t>Romainne Lettuce</t>
  </si>
  <si>
    <t>Fish Chowder</t>
  </si>
  <si>
    <t>Turnip</t>
  </si>
  <si>
    <t>Potatoes</t>
  </si>
  <si>
    <t>Fish Meat</t>
  </si>
  <si>
    <t>Baked Pumkin</t>
  </si>
  <si>
    <t>Pumkin</t>
  </si>
  <si>
    <t>Oil</t>
  </si>
  <si>
    <t>Jardiniere Vegetables</t>
  </si>
  <si>
    <t>Cucumber</t>
  </si>
  <si>
    <t>Green Bean</t>
  </si>
  <si>
    <t xml:space="preserve">Salt </t>
  </si>
  <si>
    <t>Café De Paris</t>
  </si>
  <si>
    <t>Gherkin</t>
  </si>
  <si>
    <t>Worcestershire</t>
  </si>
  <si>
    <t>Lime Juice</t>
  </si>
  <si>
    <t>Chicken</t>
  </si>
  <si>
    <t>Bread Crumb</t>
  </si>
  <si>
    <t>Choco Sponge Cake</t>
  </si>
  <si>
    <t>Soft Flour</t>
  </si>
  <si>
    <t>Cocoa Powder</t>
  </si>
  <si>
    <t>Chocolate Compund</t>
  </si>
  <si>
    <t>Fresh Milk</t>
  </si>
  <si>
    <t>Whipped Cream</t>
  </si>
  <si>
    <t>Dark Rum</t>
  </si>
  <si>
    <t>Choco Sauce</t>
  </si>
  <si>
    <t>Black Forest Cake</t>
  </si>
  <si>
    <t>Chocolate Sponge</t>
  </si>
  <si>
    <t>Syrup</t>
  </si>
  <si>
    <t>Chocolate Block</t>
  </si>
  <si>
    <t>Dark Sweet Cherries</t>
  </si>
  <si>
    <t>Red Wine</t>
  </si>
  <si>
    <t>Cinnamon Powder</t>
  </si>
  <si>
    <t>Custard Powder</t>
  </si>
  <si>
    <t>can</t>
  </si>
  <si>
    <t>Sponge Cake</t>
  </si>
  <si>
    <t>Corn Flour</t>
  </si>
  <si>
    <t>Pastry Cream</t>
  </si>
  <si>
    <t>Sugar Dough</t>
  </si>
  <si>
    <t>Margarine</t>
  </si>
  <si>
    <t>Icing Sugar</t>
  </si>
  <si>
    <t>Vanilla Essence</t>
  </si>
  <si>
    <t>Strawberry Sauce</t>
  </si>
  <si>
    <t>Strawberry</t>
  </si>
  <si>
    <t>Strawberry Jam</t>
  </si>
  <si>
    <t>Fruit Cake</t>
  </si>
  <si>
    <t>Simple Syrup</t>
  </si>
  <si>
    <t>Rum</t>
  </si>
  <si>
    <t>Almond</t>
  </si>
  <si>
    <t>Shrimp Bisque</t>
  </si>
  <si>
    <t>Breaded Chicken Cutlet</t>
  </si>
  <si>
    <t>Kiwi</t>
  </si>
  <si>
    <t>Grape</t>
  </si>
  <si>
    <t>Starberry</t>
  </si>
  <si>
    <t>Peach</t>
  </si>
  <si>
    <t>Agar-agar</t>
  </si>
  <si>
    <t>sachet</t>
  </si>
  <si>
    <t>portion</t>
  </si>
  <si>
    <t>porion</t>
  </si>
  <si>
    <t>Mozzarela Cheese</t>
  </si>
  <si>
    <t>Jardiniere Vegetable</t>
  </si>
  <si>
    <t>Strawberry sauce</t>
  </si>
  <si>
    <t>whole</t>
  </si>
  <si>
    <t>wholes</t>
  </si>
  <si>
    <t>Focaccia Bread</t>
  </si>
  <si>
    <t>Olive Oil</t>
  </si>
  <si>
    <t>Rosemary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</si>
</sst>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.00_-;\-[$Rp-421]* #,##0.00_-;_-[$Rp-421]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FFCC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2" borderId="9" xfId="0" applyFont="1" applyFill="1" applyBorder="1" applyAlignment="1">
      <alignment vertical="center"/>
    </xf>
    <xf numFmtId="0" fontId="0" fillId="2" borderId="11" xfId="0" applyFill="1" applyBorder="1"/>
    <xf numFmtId="0" fontId="5" fillId="4" borderId="12" xfId="0" applyFont="1" applyFill="1" applyBorder="1"/>
    <xf numFmtId="0" fontId="0" fillId="0" borderId="13" xfId="0" applyBorder="1"/>
    <xf numFmtId="0" fontId="0" fillId="0" borderId="13" xfId="0" applyBorder="1" applyAlignment="1">
      <alignment horizontal="center" vertical="center"/>
    </xf>
    <xf numFmtId="164" fontId="0" fillId="0" borderId="13" xfId="0" applyNumberFormat="1" applyBorder="1"/>
    <xf numFmtId="9" fontId="0" fillId="0" borderId="13" xfId="1" applyFont="1" applyBorder="1"/>
    <xf numFmtId="164" fontId="0" fillId="6" borderId="13" xfId="0" applyNumberFormat="1" applyFill="1" applyBorder="1"/>
    <xf numFmtId="0" fontId="0" fillId="0" borderId="12" xfId="0" applyBorder="1"/>
    <xf numFmtId="164" fontId="0" fillId="0" borderId="12" xfId="0" applyNumberFormat="1" applyBorder="1"/>
    <xf numFmtId="0" fontId="0" fillId="0" borderId="13" xfId="0" applyFill="1" applyBorder="1"/>
    <xf numFmtId="0" fontId="0" fillId="0" borderId="0" xfId="0" applyAlignment="1">
      <alignment horizontal="center" vertical="center"/>
    </xf>
    <xf numFmtId="164" fontId="0" fillId="7" borderId="13" xfId="0" applyNumberFormat="1" applyFill="1" applyBorder="1"/>
    <xf numFmtId="0" fontId="0" fillId="0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164" fontId="0" fillId="8" borderId="13" xfId="0" applyNumberFormat="1" applyFill="1" applyBorder="1"/>
    <xf numFmtId="14" fontId="0" fillId="0" borderId="0" xfId="0" applyNumberFormat="1"/>
    <xf numFmtId="0" fontId="2" fillId="5" borderId="13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0" xfId="0" applyFill="1" applyBorder="1" applyAlignment="1">
      <alignment horizont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E9DF-9F87-4204-A959-41281B847617}">
  <dimension ref="A1:H55"/>
  <sheetViews>
    <sheetView workbookViewId="0">
      <selection activeCell="F13" sqref="F13"/>
    </sheetView>
  </sheetViews>
  <sheetFormatPr defaultRowHeight="14.5" x14ac:dyDescent="0.35"/>
  <cols>
    <col min="1" max="8" width="19.1796875" customWidth="1"/>
  </cols>
  <sheetData>
    <row r="1" spans="1:8" ht="21.5" thickBot="1" x14ac:dyDescent="0.55000000000000004">
      <c r="A1" s="27" t="s">
        <v>0</v>
      </c>
      <c r="B1" s="28"/>
      <c r="C1" s="28"/>
      <c r="D1" s="28"/>
      <c r="E1" s="28"/>
      <c r="F1" s="28"/>
      <c r="G1" s="28"/>
    </row>
    <row r="2" spans="1:8" x14ac:dyDescent="0.35">
      <c r="A2" s="1"/>
      <c r="B2" s="2"/>
      <c r="C2" s="2"/>
      <c r="D2" s="2"/>
      <c r="E2" s="2"/>
      <c r="F2" s="2"/>
      <c r="G2" s="2"/>
      <c r="H2" s="3"/>
    </row>
    <row r="3" spans="1:8" x14ac:dyDescent="0.35">
      <c r="A3" s="4" t="s">
        <v>1</v>
      </c>
      <c r="B3" t="s">
        <v>2</v>
      </c>
      <c r="H3" s="5"/>
    </row>
    <row r="4" spans="1:8" x14ac:dyDescent="0.35">
      <c r="A4" s="4" t="s">
        <v>3</v>
      </c>
      <c r="B4" t="s">
        <v>4</v>
      </c>
      <c r="H4" s="5"/>
    </row>
    <row r="5" spans="1:8" x14ac:dyDescent="0.35">
      <c r="A5" s="4" t="s">
        <v>5</v>
      </c>
      <c r="B5" t="s">
        <v>21</v>
      </c>
      <c r="H5" s="5"/>
    </row>
    <row r="6" spans="1:8" x14ac:dyDescent="0.35">
      <c r="A6" s="4" t="s">
        <v>6</v>
      </c>
      <c r="B6" s="25">
        <v>46117</v>
      </c>
      <c r="H6" s="5"/>
    </row>
    <row r="7" spans="1:8" ht="15" thickBot="1" x14ac:dyDescent="0.4">
      <c r="A7" s="6" t="s">
        <v>7</v>
      </c>
      <c r="B7" s="7"/>
      <c r="C7" s="7"/>
      <c r="D7" s="7"/>
      <c r="E7" s="7"/>
      <c r="F7" s="7"/>
      <c r="G7" s="7"/>
      <c r="H7" s="8"/>
    </row>
    <row r="8" spans="1:8" ht="15" thickBot="1" x14ac:dyDescent="0.4">
      <c r="A8" s="1"/>
      <c r="B8" s="2"/>
      <c r="C8" s="2"/>
      <c r="D8" s="2"/>
      <c r="E8" s="2"/>
      <c r="F8" s="2"/>
      <c r="G8" s="2"/>
      <c r="H8" s="3"/>
    </row>
    <row r="9" spans="1:8" ht="16" thickBot="1" x14ac:dyDescent="0.4">
      <c r="A9" s="9" t="s">
        <v>8</v>
      </c>
      <c r="B9" s="29" t="s">
        <v>9</v>
      </c>
      <c r="C9" s="29"/>
      <c r="D9" s="29"/>
      <c r="E9" s="29"/>
      <c r="F9" s="29"/>
      <c r="G9" s="29"/>
      <c r="H9" s="10">
        <v>1000</v>
      </c>
    </row>
    <row r="10" spans="1:8" ht="15.5" customHeight="1" x14ac:dyDescent="0.35">
      <c r="A10" s="30" t="s">
        <v>10</v>
      </c>
      <c r="B10" s="32" t="s">
        <v>11</v>
      </c>
      <c r="C10" s="32"/>
      <c r="D10" s="32"/>
      <c r="E10" s="32"/>
      <c r="F10" s="32"/>
      <c r="G10" s="32"/>
      <c r="H10" s="11" t="s">
        <v>12</v>
      </c>
    </row>
    <row r="11" spans="1:8" ht="14.5" customHeight="1" x14ac:dyDescent="0.35">
      <c r="A11" s="31"/>
      <c r="B11" s="33" t="s">
        <v>13</v>
      </c>
      <c r="C11" s="33" t="s">
        <v>14</v>
      </c>
      <c r="D11" s="33" t="s">
        <v>15</v>
      </c>
      <c r="E11" s="33" t="s">
        <v>16</v>
      </c>
      <c r="F11" s="33" t="s">
        <v>17</v>
      </c>
      <c r="G11" s="33" t="s">
        <v>18</v>
      </c>
      <c r="H11" s="26" t="s">
        <v>19</v>
      </c>
    </row>
    <row r="12" spans="1:8" ht="14.5" customHeight="1" x14ac:dyDescent="0.35">
      <c r="A12" s="31"/>
      <c r="B12" s="33"/>
      <c r="C12" s="33"/>
      <c r="D12" s="33"/>
      <c r="E12" s="33"/>
      <c r="F12" s="33"/>
      <c r="G12" s="33"/>
      <c r="H12" s="26"/>
    </row>
    <row r="13" spans="1:8" x14ac:dyDescent="0.35">
      <c r="A13" s="12" t="s">
        <v>22</v>
      </c>
      <c r="B13" s="12">
        <v>1000</v>
      </c>
      <c r="C13" s="13" t="s">
        <v>26</v>
      </c>
      <c r="D13" s="14">
        <v>185000</v>
      </c>
      <c r="E13" s="12">
        <v>3000</v>
      </c>
      <c r="F13" s="13" t="s">
        <v>26</v>
      </c>
      <c r="G13" s="15">
        <v>0</v>
      </c>
      <c r="H13" s="14">
        <f>IF(B13&gt;0,(D13+(D13*G13))*B13/E13,0)</f>
        <v>61666.666666666664</v>
      </c>
    </row>
    <row r="14" spans="1:8" x14ac:dyDescent="0.35">
      <c r="A14" s="12" t="s">
        <v>23</v>
      </c>
      <c r="B14" s="12">
        <v>3</v>
      </c>
      <c r="C14" s="13" t="s">
        <v>24</v>
      </c>
      <c r="D14" s="14">
        <v>69000</v>
      </c>
      <c r="E14" s="12">
        <v>30</v>
      </c>
      <c r="F14" s="13" t="s">
        <v>24</v>
      </c>
      <c r="G14" s="15">
        <v>0</v>
      </c>
      <c r="H14" s="14">
        <f t="shared" ref="H14:H19" si="0">IF(B14&gt;0,(D14+(D14*G14))*B14/E14,0)</f>
        <v>6900</v>
      </c>
    </row>
    <row r="15" spans="1:8" x14ac:dyDescent="0.35">
      <c r="A15" s="12" t="s">
        <v>25</v>
      </c>
      <c r="B15" s="12">
        <v>10</v>
      </c>
      <c r="C15" s="13" t="s">
        <v>26</v>
      </c>
      <c r="D15" s="14">
        <v>65000</v>
      </c>
      <c r="E15" s="12">
        <v>396</v>
      </c>
      <c r="F15" s="13" t="s">
        <v>26</v>
      </c>
      <c r="G15" s="15">
        <v>0</v>
      </c>
      <c r="H15" s="14">
        <f t="shared" si="0"/>
        <v>1641.4141414141413</v>
      </c>
    </row>
    <row r="16" spans="1:8" x14ac:dyDescent="0.35">
      <c r="A16" s="12" t="s">
        <v>27</v>
      </c>
      <c r="B16" s="12">
        <v>10</v>
      </c>
      <c r="C16" s="13" t="s">
        <v>26</v>
      </c>
      <c r="D16" s="14">
        <v>44200</v>
      </c>
      <c r="E16" s="12">
        <v>473</v>
      </c>
      <c r="F16" s="13" t="s">
        <v>26</v>
      </c>
      <c r="G16" s="15">
        <v>0</v>
      </c>
      <c r="H16" s="14">
        <f t="shared" si="0"/>
        <v>934.46088794926004</v>
      </c>
    </row>
    <row r="17" spans="1:8" x14ac:dyDescent="0.35">
      <c r="A17" s="12" t="s">
        <v>28</v>
      </c>
      <c r="B17" s="12">
        <v>5</v>
      </c>
      <c r="C17" s="13" t="s">
        <v>26</v>
      </c>
      <c r="D17" s="14">
        <v>75000</v>
      </c>
      <c r="E17" s="12">
        <v>150</v>
      </c>
      <c r="F17" s="13" t="s">
        <v>26</v>
      </c>
      <c r="G17" s="15">
        <v>0</v>
      </c>
      <c r="H17" s="14">
        <f t="shared" si="0"/>
        <v>2500</v>
      </c>
    </row>
    <row r="18" spans="1:8" x14ac:dyDescent="0.35">
      <c r="A18" s="12" t="s">
        <v>29</v>
      </c>
      <c r="B18" s="12">
        <v>10</v>
      </c>
      <c r="C18" s="13" t="s">
        <v>20</v>
      </c>
      <c r="D18" s="14">
        <v>9000</v>
      </c>
      <c r="E18" s="12">
        <v>1000</v>
      </c>
      <c r="F18" s="13" t="s">
        <v>20</v>
      </c>
      <c r="G18" s="15">
        <v>0</v>
      </c>
      <c r="H18" s="14">
        <f t="shared" si="0"/>
        <v>90</v>
      </c>
    </row>
    <row r="19" spans="1:8" x14ac:dyDescent="0.35">
      <c r="A19" s="12" t="s">
        <v>30</v>
      </c>
      <c r="B19" s="12">
        <v>10</v>
      </c>
      <c r="C19" s="13" t="s">
        <v>20</v>
      </c>
      <c r="D19" s="14">
        <v>45000</v>
      </c>
      <c r="E19" s="12">
        <v>1000</v>
      </c>
      <c r="F19" s="13" t="s">
        <v>20</v>
      </c>
      <c r="G19" s="15">
        <v>0</v>
      </c>
      <c r="H19" s="14">
        <f t="shared" si="0"/>
        <v>450</v>
      </c>
    </row>
    <row r="20" spans="1:8" x14ac:dyDescent="0.35">
      <c r="D20" s="12" t="s">
        <v>31</v>
      </c>
      <c r="E20" s="12"/>
      <c r="F20" s="12"/>
      <c r="G20" s="12"/>
      <c r="H20" s="14">
        <f>SUM(H13:H19)</f>
        <v>74182.54169603005</v>
      </c>
    </row>
    <row r="21" spans="1:8" x14ac:dyDescent="0.35">
      <c r="D21" s="12" t="s">
        <v>32</v>
      </c>
      <c r="E21" s="12"/>
      <c r="F21" s="12"/>
      <c r="G21" s="12"/>
      <c r="H21" s="14">
        <f>H20*0.15</f>
        <v>11127.381254404507</v>
      </c>
    </row>
    <row r="22" spans="1:8" x14ac:dyDescent="0.35">
      <c r="D22" s="12" t="s">
        <v>12</v>
      </c>
      <c r="E22" s="12"/>
      <c r="F22" s="12"/>
      <c r="G22" s="12"/>
      <c r="H22" s="14">
        <f>H20+H21</f>
        <v>85309.922950434557</v>
      </c>
    </row>
    <row r="23" spans="1:8" x14ac:dyDescent="0.35">
      <c r="D23" s="12" t="s">
        <v>33</v>
      </c>
      <c r="E23" s="12"/>
      <c r="F23" s="12"/>
      <c r="G23" s="12"/>
      <c r="H23" s="14">
        <f>H22/H9</f>
        <v>85.309922950434554</v>
      </c>
    </row>
    <row r="24" spans="1:8" x14ac:dyDescent="0.35">
      <c r="D24" s="12" t="s">
        <v>34</v>
      </c>
      <c r="E24" s="12"/>
      <c r="F24" s="12"/>
      <c r="G24" s="12"/>
      <c r="H24" s="16">
        <v>86</v>
      </c>
    </row>
    <row r="25" spans="1:8" x14ac:dyDescent="0.35">
      <c r="D25" s="12" t="s">
        <v>35</v>
      </c>
      <c r="E25" s="12"/>
      <c r="F25" s="12"/>
      <c r="G25" s="12"/>
      <c r="H25" s="15">
        <f>H23/H24</f>
        <v>0.99197584826086693</v>
      </c>
    </row>
    <row r="26" spans="1:8" x14ac:dyDescent="0.35">
      <c r="D26" s="12" t="s">
        <v>36</v>
      </c>
      <c r="E26" s="12"/>
      <c r="F26" s="12"/>
      <c r="G26" s="12"/>
      <c r="H26" s="14">
        <f>H24-H23</f>
        <v>0.69007704956544558</v>
      </c>
    </row>
    <row r="28" spans="1:8" ht="21.5" thickBot="1" x14ac:dyDescent="0.55000000000000004">
      <c r="A28" s="27" t="s">
        <v>0</v>
      </c>
      <c r="B28" s="28"/>
      <c r="C28" s="28"/>
      <c r="D28" s="28"/>
      <c r="E28" s="28"/>
      <c r="F28" s="28"/>
      <c r="G28" s="28"/>
    </row>
    <row r="29" spans="1:8" x14ac:dyDescent="0.35">
      <c r="A29" s="1"/>
      <c r="B29" s="2"/>
      <c r="C29" s="2"/>
      <c r="D29" s="2"/>
      <c r="E29" s="2"/>
      <c r="F29" s="2"/>
      <c r="G29" s="2"/>
      <c r="H29" s="3"/>
    </row>
    <row r="30" spans="1:8" x14ac:dyDescent="0.35">
      <c r="A30" s="4" t="s">
        <v>1</v>
      </c>
      <c r="B30" t="s">
        <v>2</v>
      </c>
      <c r="H30" s="5"/>
    </row>
    <row r="31" spans="1:8" x14ac:dyDescent="0.35">
      <c r="A31" s="4" t="s">
        <v>3</v>
      </c>
      <c r="B31" t="s">
        <v>4</v>
      </c>
      <c r="H31" s="5"/>
    </row>
    <row r="32" spans="1:8" x14ac:dyDescent="0.35">
      <c r="A32" s="4" t="s">
        <v>5</v>
      </c>
      <c r="B32" t="s">
        <v>37</v>
      </c>
      <c r="H32" s="5"/>
    </row>
    <row r="33" spans="1:8" x14ac:dyDescent="0.35">
      <c r="A33" s="4" t="s">
        <v>6</v>
      </c>
      <c r="B33" s="25">
        <v>46117</v>
      </c>
      <c r="H33" s="5"/>
    </row>
    <row r="34" spans="1:8" ht="15" thickBot="1" x14ac:dyDescent="0.4">
      <c r="A34" s="6" t="s">
        <v>7</v>
      </c>
      <c r="B34" s="7"/>
      <c r="C34" s="7"/>
      <c r="D34" s="7"/>
      <c r="E34" s="7"/>
      <c r="F34" s="7"/>
      <c r="G34" s="7"/>
      <c r="H34" s="8"/>
    </row>
    <row r="35" spans="1:8" ht="15" thickBot="1" x14ac:dyDescent="0.4">
      <c r="A35" s="1"/>
      <c r="B35" s="2"/>
      <c r="C35" s="2"/>
      <c r="D35" s="2"/>
      <c r="E35" s="2"/>
      <c r="F35" s="2"/>
      <c r="G35" s="2"/>
      <c r="H35" s="3"/>
    </row>
    <row r="36" spans="1:8" ht="16" thickBot="1" x14ac:dyDescent="0.4">
      <c r="A36" s="9" t="s">
        <v>8</v>
      </c>
      <c r="B36" s="29" t="s">
        <v>9</v>
      </c>
      <c r="C36" s="29"/>
      <c r="D36" s="29"/>
      <c r="E36" s="29"/>
      <c r="F36" s="29"/>
      <c r="G36" s="29"/>
      <c r="H36" s="10">
        <v>10</v>
      </c>
    </row>
    <row r="37" spans="1:8" ht="15.5" x14ac:dyDescent="0.35">
      <c r="A37" s="30" t="s">
        <v>10</v>
      </c>
      <c r="B37" s="32" t="s">
        <v>11</v>
      </c>
      <c r="C37" s="32"/>
      <c r="D37" s="32"/>
      <c r="E37" s="32"/>
      <c r="F37" s="32"/>
      <c r="G37" s="32"/>
      <c r="H37" s="11" t="s">
        <v>12</v>
      </c>
    </row>
    <row r="38" spans="1:8" x14ac:dyDescent="0.35">
      <c r="A38" s="31"/>
      <c r="B38" s="33" t="s">
        <v>13</v>
      </c>
      <c r="C38" s="33" t="s">
        <v>14</v>
      </c>
      <c r="D38" s="33" t="s">
        <v>15</v>
      </c>
      <c r="E38" s="33" t="s">
        <v>16</v>
      </c>
      <c r="F38" s="33" t="s">
        <v>17</v>
      </c>
      <c r="G38" s="33" t="s">
        <v>18</v>
      </c>
      <c r="H38" s="26" t="s">
        <v>19</v>
      </c>
    </row>
    <row r="39" spans="1:8" x14ac:dyDescent="0.35">
      <c r="A39" s="31"/>
      <c r="B39" s="33"/>
      <c r="C39" s="33"/>
      <c r="D39" s="33"/>
      <c r="E39" s="33"/>
      <c r="F39" s="33"/>
      <c r="G39" s="33"/>
      <c r="H39" s="26"/>
    </row>
    <row r="40" spans="1:8" x14ac:dyDescent="0.35">
      <c r="A40" s="12" t="s">
        <v>38</v>
      </c>
      <c r="B40" s="12">
        <v>4000</v>
      </c>
      <c r="C40" s="13" t="s">
        <v>20</v>
      </c>
      <c r="D40" s="14">
        <v>12340</v>
      </c>
      <c r="E40" s="12">
        <v>1000</v>
      </c>
      <c r="F40" s="13" t="s">
        <v>20</v>
      </c>
      <c r="G40" s="15">
        <v>0.3</v>
      </c>
      <c r="H40" s="14">
        <f>IF(B40&gt;0,(D40+(D40*G40))*B40/E40,0)</f>
        <v>64168</v>
      </c>
    </row>
    <row r="41" spans="1:8" x14ac:dyDescent="0.35">
      <c r="A41" s="19" t="s">
        <v>39</v>
      </c>
      <c r="B41" s="12">
        <v>300</v>
      </c>
      <c r="C41" s="13" t="s">
        <v>20</v>
      </c>
      <c r="D41" s="14">
        <v>55000</v>
      </c>
      <c r="E41" s="12">
        <v>1000</v>
      </c>
      <c r="F41" s="13" t="s">
        <v>20</v>
      </c>
      <c r="G41" s="15">
        <v>0</v>
      </c>
      <c r="H41" s="14">
        <f t="shared" ref="H41:H48" si="1">IF(B41&gt;0,(D41+(D41*G41))*B41/E41,0)</f>
        <v>16500</v>
      </c>
    </row>
    <row r="42" spans="1:8" x14ac:dyDescent="0.35">
      <c r="A42" s="19" t="s">
        <v>40</v>
      </c>
      <c r="B42" s="12">
        <v>100</v>
      </c>
      <c r="C42" s="13" t="s">
        <v>20</v>
      </c>
      <c r="D42" s="14">
        <v>46763</v>
      </c>
      <c r="E42" s="12">
        <v>1000</v>
      </c>
      <c r="F42" s="13" t="s">
        <v>20</v>
      </c>
      <c r="G42" s="15">
        <v>0.3</v>
      </c>
      <c r="H42" s="14">
        <f t="shared" si="1"/>
        <v>6079.19</v>
      </c>
    </row>
    <row r="43" spans="1:8" x14ac:dyDescent="0.35">
      <c r="A43" s="19" t="s">
        <v>41</v>
      </c>
      <c r="B43" s="12">
        <v>200</v>
      </c>
      <c r="C43" s="13" t="s">
        <v>20</v>
      </c>
      <c r="D43" s="14">
        <v>50500</v>
      </c>
      <c r="E43" s="12">
        <v>1000</v>
      </c>
      <c r="F43" s="13" t="s">
        <v>20</v>
      </c>
      <c r="G43" s="15">
        <v>0.1</v>
      </c>
      <c r="H43" s="14">
        <f t="shared" si="1"/>
        <v>11110</v>
      </c>
    </row>
    <row r="44" spans="1:8" x14ac:dyDescent="0.35">
      <c r="A44" s="19" t="s">
        <v>42</v>
      </c>
      <c r="B44" s="12">
        <v>250</v>
      </c>
      <c r="C44" s="13" t="s">
        <v>20</v>
      </c>
      <c r="D44" s="14">
        <v>64000</v>
      </c>
      <c r="E44" s="12">
        <v>1000</v>
      </c>
      <c r="F44" s="13" t="s">
        <v>20</v>
      </c>
      <c r="G44" s="15">
        <v>0</v>
      </c>
      <c r="H44" s="14">
        <f t="shared" si="1"/>
        <v>16000</v>
      </c>
    </row>
    <row r="45" spans="1:8" x14ac:dyDescent="0.35">
      <c r="A45" s="19" t="s">
        <v>43</v>
      </c>
      <c r="B45" s="12">
        <v>3</v>
      </c>
      <c r="C45" s="13" t="s">
        <v>24</v>
      </c>
      <c r="D45" s="14">
        <v>69000</v>
      </c>
      <c r="E45" s="12">
        <v>30</v>
      </c>
      <c r="F45" s="13" t="s">
        <v>24</v>
      </c>
      <c r="G45" s="15">
        <v>0</v>
      </c>
      <c r="H45" s="14">
        <f t="shared" si="1"/>
        <v>6900</v>
      </c>
    </row>
    <row r="46" spans="1:8" x14ac:dyDescent="0.35">
      <c r="A46" s="19" t="s">
        <v>44</v>
      </c>
      <c r="B46" s="12">
        <v>100</v>
      </c>
      <c r="C46" s="13" t="s">
        <v>26</v>
      </c>
      <c r="D46" s="14">
        <v>154072</v>
      </c>
      <c r="E46" s="12">
        <v>1000</v>
      </c>
      <c r="F46" s="13" t="s">
        <v>26</v>
      </c>
      <c r="G46" s="15">
        <v>0</v>
      </c>
      <c r="H46" s="14">
        <f t="shared" si="1"/>
        <v>15407.2</v>
      </c>
    </row>
    <row r="47" spans="1:8" x14ac:dyDescent="0.35">
      <c r="A47" s="19" t="s">
        <v>45</v>
      </c>
      <c r="B47" s="12">
        <v>20</v>
      </c>
      <c r="C47" s="13" t="s">
        <v>20</v>
      </c>
      <c r="D47" s="14">
        <v>125000</v>
      </c>
      <c r="E47" s="12">
        <v>1000</v>
      </c>
      <c r="F47" s="13" t="s">
        <v>20</v>
      </c>
      <c r="G47" s="15">
        <v>0</v>
      </c>
      <c r="H47" s="14">
        <f t="shared" si="1"/>
        <v>2500</v>
      </c>
    </row>
    <row r="48" spans="1:8" x14ac:dyDescent="0.35">
      <c r="A48" s="19" t="s">
        <v>21</v>
      </c>
      <c r="B48" s="12">
        <v>300</v>
      </c>
      <c r="C48" s="13" t="s">
        <v>26</v>
      </c>
      <c r="D48" s="14">
        <v>86</v>
      </c>
      <c r="E48" s="12">
        <v>1</v>
      </c>
      <c r="F48" s="13" t="s">
        <v>26</v>
      </c>
      <c r="G48" s="15">
        <v>0</v>
      </c>
      <c r="H48" s="14">
        <f t="shared" si="1"/>
        <v>25800</v>
      </c>
    </row>
    <row r="49" spans="4:8" x14ac:dyDescent="0.35">
      <c r="D49" s="17" t="s">
        <v>31</v>
      </c>
      <c r="E49" s="17"/>
      <c r="F49" s="17"/>
      <c r="G49" s="17"/>
      <c r="H49" s="18">
        <f>SUM(H40:H48)</f>
        <v>164464.39000000001</v>
      </c>
    </row>
    <row r="50" spans="4:8" x14ac:dyDescent="0.35">
      <c r="D50" s="12" t="s">
        <v>32</v>
      </c>
      <c r="E50" s="12"/>
      <c r="F50" s="12"/>
      <c r="G50" s="12"/>
      <c r="H50" s="14">
        <f>H49*0.15</f>
        <v>24669.658500000001</v>
      </c>
    </row>
    <row r="51" spans="4:8" x14ac:dyDescent="0.35">
      <c r="D51" s="12" t="s">
        <v>12</v>
      </c>
      <c r="E51" s="12"/>
      <c r="F51" s="12"/>
      <c r="G51" s="12"/>
      <c r="H51" s="14">
        <f>H49+H50</f>
        <v>189134.0485</v>
      </c>
    </row>
    <row r="52" spans="4:8" x14ac:dyDescent="0.35">
      <c r="D52" s="12" t="s">
        <v>33</v>
      </c>
      <c r="E52" s="12"/>
      <c r="F52" s="12"/>
      <c r="G52" s="12"/>
      <c r="H52" s="14">
        <f>H51/H36</f>
        <v>18913.404849999999</v>
      </c>
    </row>
    <row r="53" spans="4:8" x14ac:dyDescent="0.35">
      <c r="D53" s="12" t="s">
        <v>34</v>
      </c>
      <c r="E53" s="12"/>
      <c r="F53" s="12"/>
      <c r="G53" s="12"/>
      <c r="H53" s="16">
        <v>56000</v>
      </c>
    </row>
    <row r="54" spans="4:8" x14ac:dyDescent="0.35">
      <c r="D54" s="12" t="s">
        <v>35</v>
      </c>
      <c r="E54" s="12"/>
      <c r="F54" s="12"/>
      <c r="G54" s="12"/>
      <c r="H54" s="15">
        <f>H52/H53</f>
        <v>0.33773937232142853</v>
      </c>
    </row>
    <row r="55" spans="4:8" x14ac:dyDescent="0.35">
      <c r="D55" s="12" t="s">
        <v>36</v>
      </c>
      <c r="E55" s="12"/>
      <c r="F55" s="12"/>
      <c r="G55" s="12"/>
      <c r="H55" s="14">
        <f>H53-H52</f>
        <v>37086.595150000001</v>
      </c>
    </row>
  </sheetData>
  <mergeCells count="22">
    <mergeCell ref="H38:H39"/>
    <mergeCell ref="A28:G28"/>
    <mergeCell ref="B36:G36"/>
    <mergeCell ref="A37:A39"/>
    <mergeCell ref="B37:G37"/>
    <mergeCell ref="B38:B39"/>
    <mergeCell ref="C38:C39"/>
    <mergeCell ref="D38:D39"/>
    <mergeCell ref="E38:E39"/>
    <mergeCell ref="F38:F39"/>
    <mergeCell ref="G38:G39"/>
    <mergeCell ref="H11:H12"/>
    <mergeCell ref="A1:G1"/>
    <mergeCell ref="B9:G9"/>
    <mergeCell ref="A10:A12"/>
    <mergeCell ref="B10:G10"/>
    <mergeCell ref="B11:B12"/>
    <mergeCell ref="C11:C12"/>
    <mergeCell ref="D11:D12"/>
    <mergeCell ref="E11:E12"/>
    <mergeCell ref="F11:F12"/>
    <mergeCell ref="G11:G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0AA13-E226-4FE3-9D9D-5700E6521B8A}">
  <dimension ref="A1:H64"/>
  <sheetViews>
    <sheetView topLeftCell="A44" workbookViewId="0">
      <selection activeCell="E53" sqref="E53"/>
    </sheetView>
  </sheetViews>
  <sheetFormatPr defaultRowHeight="14.5" x14ac:dyDescent="0.35"/>
  <cols>
    <col min="1" max="8" width="19.453125" customWidth="1"/>
  </cols>
  <sheetData>
    <row r="1" spans="1:8" ht="21.5" thickBot="1" x14ac:dyDescent="0.55000000000000004">
      <c r="A1" s="27" t="s">
        <v>0</v>
      </c>
      <c r="B1" s="28"/>
      <c r="C1" s="28"/>
      <c r="D1" s="28"/>
      <c r="E1" s="28"/>
      <c r="F1" s="28"/>
      <c r="G1" s="28"/>
    </row>
    <row r="2" spans="1:8" x14ac:dyDescent="0.35">
      <c r="A2" s="1"/>
      <c r="B2" s="2"/>
      <c r="C2" s="2"/>
      <c r="D2" s="2"/>
      <c r="E2" s="2"/>
      <c r="F2" s="2"/>
      <c r="G2" s="2"/>
      <c r="H2" s="3"/>
    </row>
    <row r="3" spans="1:8" x14ac:dyDescent="0.35">
      <c r="A3" s="4" t="s">
        <v>1</v>
      </c>
      <c r="B3" t="s">
        <v>2</v>
      </c>
      <c r="H3" s="5"/>
    </row>
    <row r="4" spans="1:8" x14ac:dyDescent="0.35">
      <c r="A4" s="4" t="s">
        <v>3</v>
      </c>
      <c r="B4" t="s">
        <v>4</v>
      </c>
      <c r="H4" s="5"/>
    </row>
    <row r="5" spans="1:8" x14ac:dyDescent="0.35">
      <c r="A5" s="4" t="s">
        <v>5</v>
      </c>
      <c r="B5" t="s">
        <v>46</v>
      </c>
      <c r="H5" s="5"/>
    </row>
    <row r="6" spans="1:8" x14ac:dyDescent="0.35">
      <c r="A6" s="4" t="s">
        <v>6</v>
      </c>
      <c r="B6" s="25">
        <v>46147</v>
      </c>
      <c r="H6" s="5"/>
    </row>
    <row r="7" spans="1:8" ht="15" thickBot="1" x14ac:dyDescent="0.4">
      <c r="A7" s="6" t="s">
        <v>7</v>
      </c>
      <c r="B7" s="7"/>
      <c r="C7" s="7"/>
      <c r="D7" s="7"/>
      <c r="E7" s="7"/>
      <c r="F7" s="7"/>
      <c r="G7" s="7"/>
      <c r="H7" s="8"/>
    </row>
    <row r="8" spans="1:8" ht="15" thickBot="1" x14ac:dyDescent="0.4">
      <c r="A8" s="1"/>
      <c r="B8" s="2"/>
      <c r="C8" s="2"/>
      <c r="D8" s="2"/>
      <c r="E8" s="2"/>
      <c r="F8" s="2"/>
      <c r="G8" s="2"/>
      <c r="H8" s="3"/>
    </row>
    <row r="9" spans="1:8" ht="16" thickBot="1" x14ac:dyDescent="0.4">
      <c r="A9" s="9" t="s">
        <v>8</v>
      </c>
      <c r="B9" s="29" t="s">
        <v>9</v>
      </c>
      <c r="C9" s="29"/>
      <c r="D9" s="29"/>
      <c r="E9" s="29"/>
      <c r="F9" s="29"/>
      <c r="G9" s="29"/>
      <c r="H9" s="10">
        <v>4000</v>
      </c>
    </row>
    <row r="10" spans="1:8" ht="15.5" x14ac:dyDescent="0.35">
      <c r="A10" s="30" t="s">
        <v>10</v>
      </c>
      <c r="B10" s="32" t="s">
        <v>11</v>
      </c>
      <c r="C10" s="32"/>
      <c r="D10" s="32"/>
      <c r="E10" s="32"/>
      <c r="F10" s="32"/>
      <c r="G10" s="32"/>
      <c r="H10" s="11" t="s">
        <v>12</v>
      </c>
    </row>
    <row r="11" spans="1:8" x14ac:dyDescent="0.35">
      <c r="A11" s="31"/>
      <c r="B11" s="33" t="s">
        <v>13</v>
      </c>
      <c r="C11" s="33" t="s">
        <v>14</v>
      </c>
      <c r="D11" s="33" t="s">
        <v>15</v>
      </c>
      <c r="E11" s="33" t="s">
        <v>16</v>
      </c>
      <c r="F11" s="33" t="s">
        <v>17</v>
      </c>
      <c r="G11" s="33" t="s">
        <v>18</v>
      </c>
      <c r="H11" s="26" t="s">
        <v>19</v>
      </c>
    </row>
    <row r="12" spans="1:8" x14ac:dyDescent="0.35">
      <c r="A12" s="31"/>
      <c r="B12" s="33"/>
      <c r="C12" s="33"/>
      <c r="D12" s="33"/>
      <c r="E12" s="33"/>
      <c r="F12" s="33"/>
      <c r="G12" s="33"/>
      <c r="H12" s="26"/>
    </row>
    <row r="13" spans="1:8" x14ac:dyDescent="0.35">
      <c r="A13" s="12" t="s">
        <v>47</v>
      </c>
      <c r="B13" s="12">
        <v>2000</v>
      </c>
      <c r="C13" s="13" t="s">
        <v>20</v>
      </c>
      <c r="D13" s="14">
        <v>21000</v>
      </c>
      <c r="E13" s="12">
        <v>1000</v>
      </c>
      <c r="F13" s="13" t="s">
        <v>20</v>
      </c>
      <c r="G13" s="15">
        <v>0</v>
      </c>
      <c r="H13" s="14">
        <f>IF(B13&gt;0,(D13+(D13*G13))*B13/E13,0)</f>
        <v>42000</v>
      </c>
    </row>
    <row r="14" spans="1:8" x14ac:dyDescent="0.35">
      <c r="A14" s="19" t="s">
        <v>48</v>
      </c>
      <c r="B14" s="12">
        <v>120</v>
      </c>
      <c r="C14" s="13" t="s">
        <v>20</v>
      </c>
      <c r="D14" s="14">
        <v>35000</v>
      </c>
      <c r="E14" s="12">
        <v>1000</v>
      </c>
      <c r="F14" s="13" t="s">
        <v>20</v>
      </c>
      <c r="G14" s="15">
        <v>0</v>
      </c>
      <c r="H14" s="14">
        <f t="shared" ref="H14:H22" si="0">IF(B14&gt;0,(D14+(D14*G14))*B14/E14,0)</f>
        <v>4200</v>
      </c>
    </row>
    <row r="15" spans="1:8" x14ac:dyDescent="0.35">
      <c r="A15" s="19" t="s">
        <v>49</v>
      </c>
      <c r="B15" s="12">
        <v>60</v>
      </c>
      <c r="C15" s="13" t="s">
        <v>20</v>
      </c>
      <c r="D15" s="14">
        <v>25000</v>
      </c>
      <c r="E15" s="12">
        <v>1000</v>
      </c>
      <c r="F15" s="13" t="s">
        <v>20</v>
      </c>
      <c r="G15" s="15">
        <v>0</v>
      </c>
      <c r="H15" s="14">
        <f t="shared" si="0"/>
        <v>1500</v>
      </c>
    </row>
    <row r="16" spans="1:8" x14ac:dyDescent="0.35">
      <c r="A16" s="19" t="s">
        <v>40</v>
      </c>
      <c r="B16" s="12">
        <v>30</v>
      </c>
      <c r="C16" s="13" t="s">
        <v>20</v>
      </c>
      <c r="D16" s="14">
        <v>50000</v>
      </c>
      <c r="E16" s="12">
        <v>1000</v>
      </c>
      <c r="F16" s="13" t="s">
        <v>20</v>
      </c>
      <c r="G16" s="15">
        <v>0</v>
      </c>
      <c r="H16" s="14">
        <f t="shared" si="0"/>
        <v>1500</v>
      </c>
    </row>
    <row r="17" spans="1:8" x14ac:dyDescent="0.35">
      <c r="A17" s="19" t="s">
        <v>50</v>
      </c>
      <c r="B17" s="12">
        <v>30</v>
      </c>
      <c r="C17" s="13" t="s">
        <v>20</v>
      </c>
      <c r="D17" s="14">
        <v>1100000</v>
      </c>
      <c r="E17" s="12">
        <v>5000</v>
      </c>
      <c r="F17" s="13" t="s">
        <v>20</v>
      </c>
      <c r="G17" s="15">
        <v>0</v>
      </c>
      <c r="H17" s="14">
        <f t="shared" si="0"/>
        <v>6600</v>
      </c>
    </row>
    <row r="18" spans="1:8" x14ac:dyDescent="0.35">
      <c r="A18" s="19" t="s">
        <v>51</v>
      </c>
      <c r="B18" s="12">
        <v>50</v>
      </c>
      <c r="C18" s="13" t="s">
        <v>26</v>
      </c>
      <c r="D18" s="14">
        <v>341250</v>
      </c>
      <c r="E18" s="12">
        <v>2000</v>
      </c>
      <c r="F18" s="13" t="s">
        <v>26</v>
      </c>
      <c r="G18" s="15">
        <v>0</v>
      </c>
      <c r="H18" s="14">
        <f t="shared" si="0"/>
        <v>8531.25</v>
      </c>
    </row>
    <row r="19" spans="1:8" x14ac:dyDescent="0.35">
      <c r="A19" s="19" t="s">
        <v>52</v>
      </c>
      <c r="B19" s="12">
        <v>2</v>
      </c>
      <c r="C19" s="13" t="s">
        <v>20</v>
      </c>
      <c r="D19" s="14">
        <v>47500</v>
      </c>
      <c r="E19" s="12">
        <v>200</v>
      </c>
      <c r="F19" s="13" t="s">
        <v>20</v>
      </c>
      <c r="G19" s="15">
        <v>0</v>
      </c>
      <c r="H19" s="14">
        <f t="shared" si="0"/>
        <v>475</v>
      </c>
    </row>
    <row r="20" spans="1:8" x14ac:dyDescent="0.35">
      <c r="A20" s="19" t="s">
        <v>53</v>
      </c>
      <c r="B20" s="12">
        <v>10</v>
      </c>
      <c r="C20" s="13" t="s">
        <v>20</v>
      </c>
      <c r="D20" s="14">
        <v>160463</v>
      </c>
      <c r="E20" s="12">
        <v>1000</v>
      </c>
      <c r="F20" s="13" t="s">
        <v>20</v>
      </c>
      <c r="G20" s="15">
        <v>0</v>
      </c>
      <c r="H20" s="14">
        <f t="shared" si="0"/>
        <v>1604.63</v>
      </c>
    </row>
    <row r="21" spans="1:8" x14ac:dyDescent="0.35">
      <c r="A21" s="19" t="s">
        <v>54</v>
      </c>
      <c r="B21" s="12">
        <v>2</v>
      </c>
      <c r="C21" s="13" t="s">
        <v>20</v>
      </c>
      <c r="D21" s="14">
        <v>125000</v>
      </c>
      <c r="E21" s="12">
        <v>1000</v>
      </c>
      <c r="F21" s="13" t="s">
        <v>20</v>
      </c>
      <c r="G21" s="15">
        <v>0</v>
      </c>
      <c r="H21" s="14">
        <f t="shared" si="0"/>
        <v>250</v>
      </c>
    </row>
    <row r="22" spans="1:8" x14ac:dyDescent="0.35">
      <c r="A22" s="19" t="s">
        <v>55</v>
      </c>
      <c r="B22" s="12">
        <v>2</v>
      </c>
      <c r="C22" s="13" t="s">
        <v>20</v>
      </c>
      <c r="D22" s="14">
        <v>250000</v>
      </c>
      <c r="E22" s="12">
        <v>1000</v>
      </c>
      <c r="F22" s="13" t="s">
        <v>20</v>
      </c>
      <c r="G22" s="15">
        <v>0</v>
      </c>
      <c r="H22" s="14">
        <f t="shared" si="0"/>
        <v>500</v>
      </c>
    </row>
    <row r="23" spans="1:8" x14ac:dyDescent="0.35">
      <c r="D23" s="12" t="s">
        <v>31</v>
      </c>
      <c r="E23" s="12"/>
      <c r="F23" s="12"/>
      <c r="G23" s="12"/>
      <c r="H23" s="14">
        <f>SUM(H13:H22)</f>
        <v>67160.88</v>
      </c>
    </row>
    <row r="24" spans="1:8" x14ac:dyDescent="0.35">
      <c r="D24" s="12" t="s">
        <v>32</v>
      </c>
      <c r="E24" s="12"/>
      <c r="F24" s="12"/>
      <c r="G24" s="12"/>
      <c r="H24" s="14">
        <f>H23*0.15</f>
        <v>10074.132</v>
      </c>
    </row>
    <row r="25" spans="1:8" x14ac:dyDescent="0.35">
      <c r="D25" s="12" t="s">
        <v>12</v>
      </c>
      <c r="E25" s="12"/>
      <c r="F25" s="12"/>
      <c r="G25" s="12"/>
      <c r="H25" s="14">
        <f>H23+H24</f>
        <v>77235.012000000002</v>
      </c>
    </row>
    <row r="26" spans="1:8" x14ac:dyDescent="0.35">
      <c r="D26" s="12" t="s">
        <v>33</v>
      </c>
      <c r="E26" s="12"/>
      <c r="F26" s="12"/>
      <c r="G26" s="12"/>
      <c r="H26" s="14">
        <f>H25/H9</f>
        <v>19.308752999999999</v>
      </c>
    </row>
    <row r="27" spans="1:8" x14ac:dyDescent="0.35">
      <c r="D27" s="12" t="s">
        <v>34</v>
      </c>
      <c r="E27" s="12"/>
      <c r="F27" s="12"/>
      <c r="G27" s="12"/>
      <c r="H27" s="16">
        <v>20</v>
      </c>
    </row>
    <row r="28" spans="1:8" x14ac:dyDescent="0.35">
      <c r="D28" s="12" t="s">
        <v>35</v>
      </c>
      <c r="E28" s="12"/>
      <c r="F28" s="12"/>
      <c r="G28" s="12"/>
      <c r="H28" s="15">
        <f>H26/H27</f>
        <v>0.96543764999999993</v>
      </c>
    </row>
    <row r="29" spans="1:8" x14ac:dyDescent="0.35">
      <c r="D29" s="12" t="s">
        <v>36</v>
      </c>
      <c r="E29" s="12"/>
      <c r="F29" s="12"/>
      <c r="G29" s="12"/>
      <c r="H29" s="14">
        <f>H27-H26</f>
        <v>0.69124700000000061</v>
      </c>
    </row>
    <row r="32" spans="1:8" ht="21.5" thickBot="1" x14ac:dyDescent="0.55000000000000004">
      <c r="A32" s="27" t="s">
        <v>0</v>
      </c>
      <c r="B32" s="28"/>
      <c r="C32" s="28"/>
      <c r="D32" s="28"/>
      <c r="E32" s="28"/>
      <c r="F32" s="28"/>
      <c r="G32" s="28"/>
    </row>
    <row r="33" spans="1:8" x14ac:dyDescent="0.35">
      <c r="A33" s="1"/>
      <c r="B33" s="2"/>
      <c r="C33" s="2"/>
      <c r="D33" s="2"/>
      <c r="E33" s="2"/>
      <c r="F33" s="2"/>
      <c r="G33" s="2"/>
      <c r="H33" s="3"/>
    </row>
    <row r="34" spans="1:8" x14ac:dyDescent="0.35">
      <c r="A34" s="4" t="s">
        <v>1</v>
      </c>
      <c r="B34" t="s">
        <v>2</v>
      </c>
      <c r="H34" s="5"/>
    </row>
    <row r="35" spans="1:8" x14ac:dyDescent="0.35">
      <c r="A35" s="4" t="s">
        <v>3</v>
      </c>
      <c r="B35" t="s">
        <v>4</v>
      </c>
      <c r="H35" s="5"/>
    </row>
    <row r="36" spans="1:8" x14ac:dyDescent="0.35">
      <c r="A36" s="4" t="s">
        <v>5</v>
      </c>
      <c r="B36" t="s">
        <v>162</v>
      </c>
      <c r="H36" s="5"/>
    </row>
    <row r="37" spans="1:8" x14ac:dyDescent="0.35">
      <c r="A37" s="4" t="s">
        <v>6</v>
      </c>
      <c r="B37" s="25">
        <v>46147</v>
      </c>
      <c r="H37" s="5"/>
    </row>
    <row r="38" spans="1:8" ht="15" thickBot="1" x14ac:dyDescent="0.4">
      <c r="A38" s="6" t="s">
        <v>7</v>
      </c>
      <c r="B38" s="7"/>
      <c r="C38" s="7"/>
      <c r="D38" s="7"/>
      <c r="E38" s="7"/>
      <c r="F38" s="7"/>
      <c r="G38" s="7"/>
      <c r="H38" s="8"/>
    </row>
    <row r="39" spans="1:8" ht="15" thickBot="1" x14ac:dyDescent="0.4">
      <c r="A39" s="1"/>
      <c r="B39" s="2"/>
      <c r="C39" s="2"/>
      <c r="D39" s="2"/>
      <c r="E39" s="2"/>
      <c r="F39" s="2"/>
      <c r="G39" s="2"/>
      <c r="H39" s="3"/>
    </row>
    <row r="40" spans="1:8" ht="16" thickBot="1" x14ac:dyDescent="0.4">
      <c r="A40" s="9" t="s">
        <v>8</v>
      </c>
      <c r="B40" s="29" t="s">
        <v>9</v>
      </c>
      <c r="C40" s="29"/>
      <c r="D40" s="29"/>
      <c r="E40" s="29"/>
      <c r="F40" s="29"/>
      <c r="G40" s="29"/>
      <c r="H40" s="10">
        <v>10</v>
      </c>
    </row>
    <row r="41" spans="1:8" ht="15.5" x14ac:dyDescent="0.35">
      <c r="A41" s="30" t="s">
        <v>10</v>
      </c>
      <c r="B41" s="32" t="s">
        <v>11</v>
      </c>
      <c r="C41" s="32"/>
      <c r="D41" s="32"/>
      <c r="E41" s="32"/>
      <c r="F41" s="32"/>
      <c r="G41" s="32"/>
      <c r="H41" s="11" t="s">
        <v>12</v>
      </c>
    </row>
    <row r="42" spans="1:8" x14ac:dyDescent="0.35">
      <c r="A42" s="31"/>
      <c r="B42" s="33" t="s">
        <v>13</v>
      </c>
      <c r="C42" s="33" t="s">
        <v>14</v>
      </c>
      <c r="D42" s="33" t="s">
        <v>15</v>
      </c>
      <c r="E42" s="33" t="s">
        <v>16</v>
      </c>
      <c r="F42" s="33" t="s">
        <v>17</v>
      </c>
      <c r="G42" s="33" t="s">
        <v>18</v>
      </c>
      <c r="H42" s="26" t="s">
        <v>19</v>
      </c>
    </row>
    <row r="43" spans="1:8" x14ac:dyDescent="0.35">
      <c r="A43" s="31"/>
      <c r="B43" s="33"/>
      <c r="C43" s="33"/>
      <c r="D43" s="33"/>
      <c r="E43" s="33"/>
      <c r="F43" s="33"/>
      <c r="G43" s="33"/>
      <c r="H43" s="26"/>
    </row>
    <row r="44" spans="1:8" x14ac:dyDescent="0.35">
      <c r="A44" s="12" t="s">
        <v>56</v>
      </c>
      <c r="B44" s="12">
        <v>500</v>
      </c>
      <c r="C44" s="13" t="s">
        <v>20</v>
      </c>
      <c r="D44" s="14">
        <v>115500</v>
      </c>
      <c r="E44" s="12">
        <v>1000</v>
      </c>
      <c r="F44" s="13" t="s">
        <v>20</v>
      </c>
      <c r="G44" s="15">
        <v>0</v>
      </c>
      <c r="H44" s="14">
        <f>IF(B44&gt;0,(D44+(D44*G44))*B44/E44,0)</f>
        <v>57750</v>
      </c>
    </row>
    <row r="45" spans="1:8" x14ac:dyDescent="0.35">
      <c r="A45" s="19" t="s">
        <v>50</v>
      </c>
      <c r="B45" s="12">
        <v>50</v>
      </c>
      <c r="C45" s="13" t="s">
        <v>20</v>
      </c>
      <c r="D45" s="14">
        <v>1100000</v>
      </c>
      <c r="E45" s="12">
        <v>5000</v>
      </c>
      <c r="F45" s="13" t="s">
        <v>20</v>
      </c>
      <c r="G45" s="15">
        <v>0</v>
      </c>
      <c r="H45" s="14">
        <f t="shared" ref="H45:H57" si="1">IF(B45&gt;0,(D45+(D45*G45))*B45/E45,0)</f>
        <v>11000</v>
      </c>
    </row>
    <row r="46" spans="1:8" x14ac:dyDescent="0.35">
      <c r="A46" s="19" t="s">
        <v>46</v>
      </c>
      <c r="B46" s="12">
        <v>3000</v>
      </c>
      <c r="C46" s="13" t="s">
        <v>26</v>
      </c>
      <c r="D46" s="14">
        <v>20</v>
      </c>
      <c r="E46" s="12">
        <v>1</v>
      </c>
      <c r="F46" s="13" t="s">
        <v>26</v>
      </c>
      <c r="G46" s="15">
        <v>0</v>
      </c>
      <c r="H46" s="14">
        <f t="shared" si="1"/>
        <v>60000</v>
      </c>
    </row>
    <row r="47" spans="1:8" x14ac:dyDescent="0.35">
      <c r="A47" s="19" t="s">
        <v>48</v>
      </c>
      <c r="B47" s="12">
        <v>100</v>
      </c>
      <c r="C47" s="13" t="s">
        <v>20</v>
      </c>
      <c r="D47" s="14">
        <v>35000</v>
      </c>
      <c r="E47" s="12">
        <v>1000</v>
      </c>
      <c r="F47" s="13" t="s">
        <v>20</v>
      </c>
      <c r="G47" s="15">
        <v>0</v>
      </c>
      <c r="H47" s="14">
        <f t="shared" si="1"/>
        <v>3500</v>
      </c>
    </row>
    <row r="48" spans="1:8" x14ac:dyDescent="0.35">
      <c r="A48" s="19" t="s">
        <v>49</v>
      </c>
      <c r="B48" s="12">
        <v>50</v>
      </c>
      <c r="C48" s="13" t="s">
        <v>20</v>
      </c>
      <c r="D48" s="14">
        <v>25000</v>
      </c>
      <c r="E48" s="12">
        <v>1000</v>
      </c>
      <c r="F48" s="13" t="s">
        <v>20</v>
      </c>
      <c r="G48" s="15">
        <v>0</v>
      </c>
      <c r="H48" s="14">
        <f t="shared" si="1"/>
        <v>1250</v>
      </c>
    </row>
    <row r="49" spans="1:8" x14ac:dyDescent="0.35">
      <c r="A49" s="19" t="s">
        <v>57</v>
      </c>
      <c r="B49" s="12">
        <v>50</v>
      </c>
      <c r="C49" s="13" t="s">
        <v>20</v>
      </c>
      <c r="D49" s="14">
        <v>45000</v>
      </c>
      <c r="E49" s="12">
        <v>1000</v>
      </c>
      <c r="F49" s="13" t="s">
        <v>20</v>
      </c>
      <c r="G49" s="15">
        <v>0</v>
      </c>
      <c r="H49" s="14">
        <f t="shared" si="1"/>
        <v>2250</v>
      </c>
    </row>
    <row r="50" spans="1:8" x14ac:dyDescent="0.35">
      <c r="A50" s="19" t="s">
        <v>40</v>
      </c>
      <c r="B50" s="12">
        <v>10</v>
      </c>
      <c r="C50" s="13" t="s">
        <v>20</v>
      </c>
      <c r="D50" s="14">
        <v>50000</v>
      </c>
      <c r="E50" s="12">
        <v>1000</v>
      </c>
      <c r="F50" s="13" t="s">
        <v>20</v>
      </c>
      <c r="G50" s="15">
        <v>0</v>
      </c>
      <c r="H50" s="14">
        <f t="shared" si="1"/>
        <v>500</v>
      </c>
    </row>
    <row r="51" spans="1:8" x14ac:dyDescent="0.35">
      <c r="A51" s="19" t="s">
        <v>58</v>
      </c>
      <c r="B51" s="12">
        <v>80</v>
      </c>
      <c r="C51" s="13" t="s">
        <v>20</v>
      </c>
      <c r="D51" s="14">
        <v>280800</v>
      </c>
      <c r="E51" s="12">
        <v>3150</v>
      </c>
      <c r="F51" s="13" t="s">
        <v>20</v>
      </c>
      <c r="G51" s="15">
        <v>0</v>
      </c>
      <c r="H51" s="14">
        <f t="shared" si="1"/>
        <v>7131.4285714285716</v>
      </c>
    </row>
    <row r="52" spans="1:8" x14ac:dyDescent="0.35">
      <c r="A52" s="19" t="s">
        <v>59</v>
      </c>
      <c r="B52" s="12">
        <v>30</v>
      </c>
      <c r="C52" s="13" t="s">
        <v>26</v>
      </c>
      <c r="D52" s="14">
        <v>345000</v>
      </c>
      <c r="E52" s="12">
        <v>750</v>
      </c>
      <c r="F52" s="13" t="s">
        <v>26</v>
      </c>
      <c r="G52" s="15">
        <v>0</v>
      </c>
      <c r="H52" s="14">
        <f t="shared" si="1"/>
        <v>13800</v>
      </c>
    </row>
    <row r="53" spans="1:8" x14ac:dyDescent="0.35">
      <c r="A53" s="19" t="s">
        <v>51</v>
      </c>
      <c r="B53" s="12">
        <v>100</v>
      </c>
      <c r="C53" s="13" t="s">
        <v>26</v>
      </c>
      <c r="D53" s="14">
        <v>341250</v>
      </c>
      <c r="E53" s="12">
        <v>2000</v>
      </c>
      <c r="F53" s="13" t="s">
        <v>26</v>
      </c>
      <c r="G53" s="15">
        <v>0</v>
      </c>
      <c r="H53" s="14">
        <f t="shared" si="1"/>
        <v>17062.5</v>
      </c>
    </row>
    <row r="54" spans="1:8" x14ac:dyDescent="0.35">
      <c r="A54" s="19" t="s">
        <v>60</v>
      </c>
      <c r="B54" s="12">
        <v>80</v>
      </c>
      <c r="C54" s="13" t="s">
        <v>20</v>
      </c>
      <c r="D54" s="14">
        <v>28080</v>
      </c>
      <c r="E54" s="12">
        <v>1000</v>
      </c>
      <c r="F54" s="13" t="s">
        <v>20</v>
      </c>
      <c r="G54" s="15">
        <v>0</v>
      </c>
      <c r="H54" s="14">
        <f t="shared" si="1"/>
        <v>2246.4</v>
      </c>
    </row>
    <row r="55" spans="1:8" x14ac:dyDescent="0.35">
      <c r="A55" s="19" t="s">
        <v>61</v>
      </c>
      <c r="B55" s="12">
        <v>100</v>
      </c>
      <c r="C55" s="13" t="s">
        <v>26</v>
      </c>
      <c r="D55" s="14">
        <v>154072</v>
      </c>
      <c r="E55" s="12">
        <v>1000</v>
      </c>
      <c r="F55" s="13" t="s">
        <v>26</v>
      </c>
      <c r="G55" s="15">
        <v>0</v>
      </c>
      <c r="H55" s="14">
        <f t="shared" si="1"/>
        <v>15407.2</v>
      </c>
    </row>
    <row r="56" spans="1:8" x14ac:dyDescent="0.35">
      <c r="A56" s="19" t="s">
        <v>29</v>
      </c>
      <c r="B56" s="12">
        <v>20</v>
      </c>
      <c r="C56" s="13" t="s">
        <v>20</v>
      </c>
      <c r="D56" s="14">
        <v>9000</v>
      </c>
      <c r="E56" s="12">
        <v>1000</v>
      </c>
      <c r="F56" s="13" t="s">
        <v>20</v>
      </c>
      <c r="G56" s="15">
        <v>0</v>
      </c>
      <c r="H56" s="14">
        <f t="shared" si="1"/>
        <v>180</v>
      </c>
    </row>
    <row r="57" spans="1:8" x14ac:dyDescent="0.35">
      <c r="A57" s="19" t="s">
        <v>30</v>
      </c>
      <c r="B57" s="12">
        <v>20</v>
      </c>
      <c r="C57" s="13" t="s">
        <v>20</v>
      </c>
      <c r="D57" s="14">
        <v>45000</v>
      </c>
      <c r="E57" s="12">
        <v>1000</v>
      </c>
      <c r="F57" s="13" t="s">
        <v>20</v>
      </c>
      <c r="G57" s="15">
        <v>0</v>
      </c>
      <c r="H57" s="14">
        <f t="shared" si="1"/>
        <v>900</v>
      </c>
    </row>
    <row r="58" spans="1:8" x14ac:dyDescent="0.35">
      <c r="D58" s="12" t="s">
        <v>31</v>
      </c>
      <c r="E58" s="12"/>
      <c r="F58" s="12"/>
      <c r="G58" s="12"/>
      <c r="H58" s="14">
        <f>SUM(H44:H57)</f>
        <v>192977.52857142859</v>
      </c>
    </row>
    <row r="59" spans="1:8" x14ac:dyDescent="0.35">
      <c r="D59" s="12" t="s">
        <v>32</v>
      </c>
      <c r="E59" s="12"/>
      <c r="F59" s="12"/>
      <c r="G59" s="12"/>
      <c r="H59" s="14">
        <f>H58*0.15</f>
        <v>28946.629285714287</v>
      </c>
    </row>
    <row r="60" spans="1:8" x14ac:dyDescent="0.35">
      <c r="D60" s="12" t="s">
        <v>12</v>
      </c>
      <c r="E60" s="12"/>
      <c r="F60" s="12"/>
      <c r="G60" s="12"/>
      <c r="H60" s="14">
        <f>H58+H59</f>
        <v>221924.15785714288</v>
      </c>
    </row>
    <row r="61" spans="1:8" x14ac:dyDescent="0.35">
      <c r="D61" s="12" t="s">
        <v>33</v>
      </c>
      <c r="E61" s="12"/>
      <c r="F61" s="12"/>
      <c r="G61" s="12"/>
      <c r="H61" s="14">
        <f>H60/H40</f>
        <v>22192.415785714289</v>
      </c>
    </row>
    <row r="62" spans="1:8" x14ac:dyDescent="0.35">
      <c r="D62" s="12" t="s">
        <v>34</v>
      </c>
      <c r="E62" s="12"/>
      <c r="F62" s="12"/>
      <c r="G62" s="12"/>
      <c r="H62" s="16">
        <v>62000</v>
      </c>
    </row>
    <row r="63" spans="1:8" x14ac:dyDescent="0.35">
      <c r="D63" s="12" t="s">
        <v>35</v>
      </c>
      <c r="E63" s="12"/>
      <c r="F63" s="12"/>
      <c r="G63" s="12"/>
      <c r="H63" s="15">
        <f>H61/H62</f>
        <v>0.35794219009216593</v>
      </c>
    </row>
    <row r="64" spans="1:8" x14ac:dyDescent="0.35">
      <c r="D64" s="12" t="s">
        <v>36</v>
      </c>
      <c r="E64" s="12"/>
      <c r="F64" s="12"/>
      <c r="G64" s="12"/>
      <c r="H64" s="14">
        <f>H62-H61</f>
        <v>39807.584214285715</v>
      </c>
    </row>
  </sheetData>
  <mergeCells count="22">
    <mergeCell ref="H42:H43"/>
    <mergeCell ref="A32:G32"/>
    <mergeCell ref="B40:G40"/>
    <mergeCell ref="A41:A43"/>
    <mergeCell ref="B41:G41"/>
    <mergeCell ref="B42:B43"/>
    <mergeCell ref="C42:C43"/>
    <mergeCell ref="D42:D43"/>
    <mergeCell ref="E42:E43"/>
    <mergeCell ref="F42:F43"/>
    <mergeCell ref="G42:G43"/>
    <mergeCell ref="H11:H12"/>
    <mergeCell ref="A1:G1"/>
    <mergeCell ref="B9:G9"/>
    <mergeCell ref="A10:A12"/>
    <mergeCell ref="B10:G10"/>
    <mergeCell ref="B11:B12"/>
    <mergeCell ref="C11:C12"/>
    <mergeCell ref="D11:D12"/>
    <mergeCell ref="E11:E12"/>
    <mergeCell ref="F11:F12"/>
    <mergeCell ref="G11:G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0D77D-BD53-48FA-9C00-49D6794398C0}">
  <dimension ref="A1:H183"/>
  <sheetViews>
    <sheetView topLeftCell="A101" workbookViewId="0">
      <selection activeCell="A175" sqref="A175"/>
    </sheetView>
  </sheetViews>
  <sheetFormatPr defaultRowHeight="14.5" x14ac:dyDescent="0.35"/>
  <cols>
    <col min="1" max="8" width="19" customWidth="1"/>
  </cols>
  <sheetData>
    <row r="1" spans="1:8" ht="21.5" thickBot="1" x14ac:dyDescent="0.55000000000000004">
      <c r="A1" s="27" t="s">
        <v>0</v>
      </c>
      <c r="B1" s="28"/>
      <c r="C1" s="28"/>
      <c r="D1" s="28"/>
      <c r="E1" s="28"/>
      <c r="F1" s="28"/>
      <c r="G1" s="28"/>
    </row>
    <row r="2" spans="1:8" x14ac:dyDescent="0.35">
      <c r="A2" s="1"/>
      <c r="B2" s="2"/>
      <c r="C2" s="2"/>
      <c r="D2" s="2"/>
      <c r="E2" s="2"/>
      <c r="F2" s="2"/>
      <c r="G2" s="2"/>
      <c r="H2" s="3"/>
    </row>
    <row r="3" spans="1:8" x14ac:dyDescent="0.35">
      <c r="A3" s="4" t="s">
        <v>1</v>
      </c>
      <c r="B3" t="s">
        <v>2</v>
      </c>
      <c r="H3" s="5"/>
    </row>
    <row r="4" spans="1:8" x14ac:dyDescent="0.35">
      <c r="A4" s="4" t="s">
        <v>3</v>
      </c>
      <c r="B4" t="s">
        <v>4</v>
      </c>
      <c r="H4" s="5"/>
    </row>
    <row r="5" spans="1:8" x14ac:dyDescent="0.35">
      <c r="A5" s="4" t="s">
        <v>5</v>
      </c>
      <c r="B5" t="s">
        <v>62</v>
      </c>
      <c r="H5" s="5"/>
    </row>
    <row r="6" spans="1:8" x14ac:dyDescent="0.35">
      <c r="A6" s="4" t="s">
        <v>6</v>
      </c>
      <c r="B6" s="25">
        <v>46178</v>
      </c>
      <c r="H6" s="5"/>
    </row>
    <row r="7" spans="1:8" ht="15" thickBot="1" x14ac:dyDescent="0.4">
      <c r="A7" s="6" t="s">
        <v>7</v>
      </c>
      <c r="B7" s="7"/>
      <c r="C7" s="7"/>
      <c r="D7" s="7"/>
      <c r="E7" s="7"/>
      <c r="F7" s="7"/>
      <c r="G7" s="7"/>
      <c r="H7" s="8"/>
    </row>
    <row r="8" spans="1:8" ht="15" thickBot="1" x14ac:dyDescent="0.4">
      <c r="A8" s="1"/>
      <c r="B8" s="2"/>
      <c r="C8" s="2"/>
      <c r="D8" s="2"/>
      <c r="E8" s="2"/>
      <c r="F8" s="2"/>
      <c r="G8" s="2"/>
      <c r="H8" s="3"/>
    </row>
    <row r="9" spans="1:8" ht="16" thickBot="1" x14ac:dyDescent="0.4">
      <c r="A9" s="9" t="s">
        <v>8</v>
      </c>
      <c r="B9" s="29" t="s">
        <v>9</v>
      </c>
      <c r="C9" s="29"/>
      <c r="D9" s="29"/>
      <c r="E9" s="29"/>
      <c r="F9" s="29"/>
      <c r="G9" s="29"/>
      <c r="H9" s="10">
        <v>10</v>
      </c>
    </row>
    <row r="10" spans="1:8" ht="15.5" x14ac:dyDescent="0.35">
      <c r="A10" s="30" t="s">
        <v>10</v>
      </c>
      <c r="B10" s="32" t="s">
        <v>11</v>
      </c>
      <c r="C10" s="32"/>
      <c r="D10" s="32"/>
      <c r="E10" s="32"/>
      <c r="F10" s="32"/>
      <c r="G10" s="32"/>
      <c r="H10" s="11" t="s">
        <v>12</v>
      </c>
    </row>
    <row r="11" spans="1:8" x14ac:dyDescent="0.35">
      <c r="A11" s="31"/>
      <c r="B11" s="33" t="s">
        <v>13</v>
      </c>
      <c r="C11" s="33" t="s">
        <v>14</v>
      </c>
      <c r="D11" s="33" t="s">
        <v>15</v>
      </c>
      <c r="E11" s="33" t="s">
        <v>16</v>
      </c>
      <c r="F11" s="33" t="s">
        <v>17</v>
      </c>
      <c r="G11" s="33" t="s">
        <v>18</v>
      </c>
      <c r="H11" s="26" t="s">
        <v>19</v>
      </c>
    </row>
    <row r="12" spans="1:8" x14ac:dyDescent="0.35">
      <c r="A12" s="31"/>
      <c r="B12" s="33"/>
      <c r="C12" s="33"/>
      <c r="D12" s="33"/>
      <c r="E12" s="33"/>
      <c r="F12" s="33"/>
      <c r="G12" s="33"/>
      <c r="H12" s="26"/>
    </row>
    <row r="13" spans="1:8" x14ac:dyDescent="0.35">
      <c r="A13" s="12" t="s">
        <v>63</v>
      </c>
      <c r="B13" s="12">
        <v>1000</v>
      </c>
      <c r="C13" s="13" t="s">
        <v>20</v>
      </c>
      <c r="D13" s="14">
        <v>18000</v>
      </c>
      <c r="E13" s="12">
        <v>1000</v>
      </c>
      <c r="F13" s="13" t="s">
        <v>20</v>
      </c>
      <c r="G13" s="15">
        <v>0</v>
      </c>
      <c r="H13" s="14">
        <f>IF(B13&gt;0,(D13+(D13*G13))*B13/E13,0)</f>
        <v>18000</v>
      </c>
    </row>
    <row r="14" spans="1:8" x14ac:dyDescent="0.35">
      <c r="A14" s="19" t="s">
        <v>64</v>
      </c>
      <c r="B14" s="12">
        <v>200</v>
      </c>
      <c r="C14" s="13" t="s">
        <v>26</v>
      </c>
      <c r="D14" s="14">
        <v>21200</v>
      </c>
      <c r="E14" s="12">
        <v>1000</v>
      </c>
      <c r="F14" s="13" t="s">
        <v>26</v>
      </c>
      <c r="G14" s="15">
        <v>0</v>
      </c>
      <c r="H14" s="14">
        <f t="shared" ref="H14:H18" si="0">IF(B14&gt;0,(D14+(D14*G14))*B14/E14,0)</f>
        <v>4240</v>
      </c>
    </row>
    <row r="15" spans="1:8" x14ac:dyDescent="0.35">
      <c r="A15" s="19" t="s">
        <v>29</v>
      </c>
      <c r="B15" s="12">
        <v>15</v>
      </c>
      <c r="C15" s="13" t="s">
        <v>20</v>
      </c>
      <c r="D15" s="14">
        <v>9000</v>
      </c>
      <c r="E15" s="12">
        <v>1000</v>
      </c>
      <c r="F15" s="13" t="s">
        <v>20</v>
      </c>
      <c r="G15" s="15">
        <v>0</v>
      </c>
      <c r="H15" s="14">
        <f t="shared" si="0"/>
        <v>135</v>
      </c>
    </row>
    <row r="16" spans="1:8" x14ac:dyDescent="0.35">
      <c r="A16" s="19" t="s">
        <v>30</v>
      </c>
      <c r="B16" s="12">
        <v>15</v>
      </c>
      <c r="C16" s="13" t="s">
        <v>20</v>
      </c>
      <c r="D16" s="14">
        <v>45000</v>
      </c>
      <c r="E16" s="12">
        <v>1000</v>
      </c>
      <c r="F16" s="13" t="s">
        <v>20</v>
      </c>
      <c r="G16" s="15">
        <v>0</v>
      </c>
      <c r="H16" s="14">
        <f t="shared" si="0"/>
        <v>675</v>
      </c>
    </row>
    <row r="17" spans="1:8" x14ac:dyDescent="0.35">
      <c r="A17" s="19" t="s">
        <v>65</v>
      </c>
      <c r="B17" s="12">
        <v>200</v>
      </c>
      <c r="C17" s="13" t="s">
        <v>26</v>
      </c>
      <c r="D17" s="14">
        <v>154072</v>
      </c>
      <c r="E17" s="12">
        <v>1000</v>
      </c>
      <c r="F17" s="13" t="s">
        <v>26</v>
      </c>
      <c r="G17" s="15">
        <v>0</v>
      </c>
      <c r="H17" s="14">
        <f t="shared" si="0"/>
        <v>30814.400000000001</v>
      </c>
    </row>
    <row r="18" spans="1:8" x14ac:dyDescent="0.35">
      <c r="A18" s="19" t="s">
        <v>66</v>
      </c>
      <c r="B18" s="12">
        <v>75</v>
      </c>
      <c r="C18" s="13" t="s">
        <v>20</v>
      </c>
      <c r="D18" s="14">
        <v>1100000</v>
      </c>
      <c r="E18" s="12">
        <v>5000</v>
      </c>
      <c r="F18" s="13" t="s">
        <v>20</v>
      </c>
      <c r="G18" s="15">
        <v>0</v>
      </c>
      <c r="H18" s="14">
        <f t="shared" si="0"/>
        <v>16500</v>
      </c>
    </row>
    <row r="19" spans="1:8" x14ac:dyDescent="0.35">
      <c r="D19" s="12" t="s">
        <v>31</v>
      </c>
      <c r="E19" s="12"/>
      <c r="F19" s="12"/>
      <c r="G19" s="12"/>
      <c r="H19" s="14">
        <f>SUM(H13:H18)</f>
        <v>70364.399999999994</v>
      </c>
    </row>
    <row r="20" spans="1:8" x14ac:dyDescent="0.35">
      <c r="D20" s="12" t="s">
        <v>32</v>
      </c>
      <c r="E20" s="12"/>
      <c r="F20" s="12"/>
      <c r="G20" s="12"/>
      <c r="H20" s="14">
        <f>H19*0.15</f>
        <v>10554.659999999998</v>
      </c>
    </row>
    <row r="21" spans="1:8" x14ac:dyDescent="0.35">
      <c r="D21" s="12" t="s">
        <v>12</v>
      </c>
      <c r="E21" s="12"/>
      <c r="F21" s="12"/>
      <c r="G21" s="12"/>
      <c r="H21" s="14">
        <f>H19+H20</f>
        <v>80919.06</v>
      </c>
    </row>
    <row r="22" spans="1:8" x14ac:dyDescent="0.35">
      <c r="D22" s="12" t="s">
        <v>33</v>
      </c>
      <c r="E22" s="12"/>
      <c r="F22" s="12"/>
      <c r="G22" s="12"/>
      <c r="H22" s="14">
        <f>H21/H9</f>
        <v>8091.9059999999999</v>
      </c>
    </row>
    <row r="23" spans="1:8" x14ac:dyDescent="0.35">
      <c r="D23" s="12" t="s">
        <v>34</v>
      </c>
      <c r="E23" s="12"/>
      <c r="F23" s="12"/>
      <c r="G23" s="12"/>
      <c r="H23" s="16">
        <v>8100</v>
      </c>
    </row>
    <row r="24" spans="1:8" x14ac:dyDescent="0.35">
      <c r="D24" s="12" t="s">
        <v>35</v>
      </c>
      <c r="E24" s="12"/>
      <c r="F24" s="12"/>
      <c r="G24" s="12"/>
      <c r="H24" s="15">
        <f>H22/H23</f>
        <v>0.99900074074074074</v>
      </c>
    </row>
    <row r="25" spans="1:8" x14ac:dyDescent="0.35">
      <c r="D25" s="12" t="s">
        <v>36</v>
      </c>
      <c r="E25" s="12"/>
      <c r="F25" s="12"/>
      <c r="G25" s="12"/>
      <c r="H25" s="14">
        <f>H23-H22</f>
        <v>8.0940000000000509</v>
      </c>
    </row>
    <row r="27" spans="1:8" ht="21.5" thickBot="1" x14ac:dyDescent="0.55000000000000004">
      <c r="A27" s="27" t="s">
        <v>0</v>
      </c>
      <c r="B27" s="28"/>
      <c r="C27" s="28"/>
      <c r="D27" s="28"/>
      <c r="E27" s="28"/>
      <c r="F27" s="28"/>
      <c r="G27" s="28"/>
    </row>
    <row r="28" spans="1:8" x14ac:dyDescent="0.35">
      <c r="A28" s="1"/>
      <c r="B28" s="2"/>
      <c r="C28" s="2"/>
      <c r="D28" s="2"/>
      <c r="E28" s="2"/>
      <c r="F28" s="2"/>
      <c r="G28" s="2"/>
      <c r="H28" s="3"/>
    </row>
    <row r="29" spans="1:8" x14ac:dyDescent="0.35">
      <c r="A29" s="4" t="s">
        <v>1</v>
      </c>
      <c r="B29" t="s">
        <v>2</v>
      </c>
      <c r="H29" s="5"/>
    </row>
    <row r="30" spans="1:8" x14ac:dyDescent="0.35">
      <c r="A30" s="4" t="s">
        <v>3</v>
      </c>
      <c r="B30" t="s">
        <v>4</v>
      </c>
      <c r="H30" s="5"/>
    </row>
    <row r="31" spans="1:8" x14ac:dyDescent="0.35">
      <c r="A31" s="4" t="s">
        <v>5</v>
      </c>
      <c r="B31" t="s">
        <v>72</v>
      </c>
      <c r="H31" s="5"/>
    </row>
    <row r="32" spans="1:8" x14ac:dyDescent="0.35">
      <c r="A32" s="4" t="s">
        <v>6</v>
      </c>
      <c r="B32" s="25">
        <v>46178</v>
      </c>
      <c r="H32" s="5"/>
    </row>
    <row r="33" spans="1:8" ht="15" thickBot="1" x14ac:dyDescent="0.4">
      <c r="A33" s="6" t="s">
        <v>7</v>
      </c>
      <c r="B33" s="7"/>
      <c r="C33" s="7"/>
      <c r="D33" s="7"/>
      <c r="E33" s="7"/>
      <c r="F33" s="7"/>
      <c r="G33" s="7"/>
      <c r="H33" s="8"/>
    </row>
    <row r="34" spans="1:8" ht="15" thickBot="1" x14ac:dyDescent="0.4">
      <c r="A34" s="1"/>
      <c r="B34" s="2"/>
      <c r="C34" s="2"/>
      <c r="D34" s="2"/>
      <c r="E34" s="2"/>
      <c r="F34" s="2"/>
      <c r="G34" s="2"/>
      <c r="H34" s="3"/>
    </row>
    <row r="35" spans="1:8" ht="16" thickBot="1" x14ac:dyDescent="0.4">
      <c r="A35" s="9" t="s">
        <v>8</v>
      </c>
      <c r="B35" s="29" t="s">
        <v>9</v>
      </c>
      <c r="C35" s="29"/>
      <c r="D35" s="29"/>
      <c r="E35" s="29"/>
      <c r="F35" s="29"/>
      <c r="G35" s="29"/>
      <c r="H35" s="10">
        <v>4000</v>
      </c>
    </row>
    <row r="36" spans="1:8" ht="15.5" customHeight="1" x14ac:dyDescent="0.35">
      <c r="A36" s="30" t="s">
        <v>10</v>
      </c>
      <c r="B36" s="32" t="s">
        <v>11</v>
      </c>
      <c r="C36" s="32"/>
      <c r="D36" s="32"/>
      <c r="E36" s="32"/>
      <c r="F36" s="32"/>
      <c r="G36" s="32"/>
      <c r="H36" s="11" t="s">
        <v>12</v>
      </c>
    </row>
    <row r="37" spans="1:8" ht="14.5" customHeight="1" x14ac:dyDescent="0.35">
      <c r="A37" s="31"/>
      <c r="B37" s="33" t="s">
        <v>13</v>
      </c>
      <c r="C37" s="33" t="s">
        <v>14</v>
      </c>
      <c r="D37" s="33" t="s">
        <v>15</v>
      </c>
      <c r="E37" s="33" t="s">
        <v>16</v>
      </c>
      <c r="F37" s="33" t="s">
        <v>17</v>
      </c>
      <c r="G37" s="33" t="s">
        <v>18</v>
      </c>
      <c r="H37" s="26" t="s">
        <v>19</v>
      </c>
    </row>
    <row r="38" spans="1:8" ht="14.5" customHeight="1" x14ac:dyDescent="0.35">
      <c r="A38" s="31"/>
      <c r="B38" s="33"/>
      <c r="C38" s="33"/>
      <c r="D38" s="33"/>
      <c r="E38" s="33"/>
      <c r="F38" s="33"/>
      <c r="G38" s="33"/>
      <c r="H38" s="26"/>
    </row>
    <row r="39" spans="1:8" x14ac:dyDescent="0.35">
      <c r="A39" s="12" t="s">
        <v>68</v>
      </c>
      <c r="B39" s="12">
        <v>2500</v>
      </c>
      <c r="C39" s="13" t="s">
        <v>20</v>
      </c>
      <c r="D39" s="14">
        <v>14700</v>
      </c>
      <c r="E39" s="12">
        <v>1000</v>
      </c>
      <c r="F39" s="13" t="s">
        <v>20</v>
      </c>
      <c r="G39" s="15">
        <v>0</v>
      </c>
      <c r="H39" s="14">
        <f>IF(B39&gt;0,(D39+(D39*G39))*B39/E39,0)</f>
        <v>36750</v>
      </c>
    </row>
    <row r="40" spans="1:8" x14ac:dyDescent="0.35">
      <c r="A40" s="12" t="s">
        <v>48</v>
      </c>
      <c r="B40" s="12">
        <v>200</v>
      </c>
      <c r="C40" s="13" t="s">
        <v>20</v>
      </c>
      <c r="D40" s="14">
        <v>35000</v>
      </c>
      <c r="E40" s="12">
        <v>1000</v>
      </c>
      <c r="F40" s="13" t="s">
        <v>20</v>
      </c>
      <c r="G40" s="15">
        <v>0</v>
      </c>
      <c r="H40" s="14">
        <f t="shared" ref="H40:H46" si="1">IF(B40&gt;0,(D40+(D40*G40))*B40/E40,0)</f>
        <v>7000</v>
      </c>
    </row>
    <row r="41" spans="1:8" x14ac:dyDescent="0.35">
      <c r="A41" s="12" t="s">
        <v>49</v>
      </c>
      <c r="B41" s="12">
        <v>100</v>
      </c>
      <c r="C41" s="13" t="s">
        <v>20</v>
      </c>
      <c r="D41" s="14">
        <v>25000</v>
      </c>
      <c r="E41" s="12">
        <v>1000</v>
      </c>
      <c r="F41" s="13" t="s">
        <v>20</v>
      </c>
      <c r="G41" s="15">
        <v>0</v>
      </c>
      <c r="H41" s="14">
        <f t="shared" si="1"/>
        <v>2500</v>
      </c>
    </row>
    <row r="42" spans="1:8" x14ac:dyDescent="0.35">
      <c r="A42" s="12" t="s">
        <v>40</v>
      </c>
      <c r="B42" s="12">
        <v>50</v>
      </c>
      <c r="C42" s="13" t="s">
        <v>20</v>
      </c>
      <c r="D42" s="14">
        <v>50000</v>
      </c>
      <c r="E42" s="12">
        <v>1000</v>
      </c>
      <c r="F42" s="13" t="s">
        <v>20</v>
      </c>
      <c r="G42" s="15">
        <v>0</v>
      </c>
      <c r="H42" s="14">
        <f t="shared" si="1"/>
        <v>2500</v>
      </c>
    </row>
    <row r="43" spans="1:8" x14ac:dyDescent="0.35">
      <c r="A43" s="12" t="s">
        <v>69</v>
      </c>
      <c r="B43" s="12">
        <v>2</v>
      </c>
      <c r="C43" s="13" t="s">
        <v>20</v>
      </c>
      <c r="D43" s="14">
        <v>47500</v>
      </c>
      <c r="E43" s="12">
        <v>200</v>
      </c>
      <c r="F43" s="13" t="s">
        <v>20</v>
      </c>
      <c r="G43" s="15">
        <v>0</v>
      </c>
      <c r="H43" s="14">
        <f t="shared" si="1"/>
        <v>475</v>
      </c>
    </row>
    <row r="44" spans="1:8" x14ac:dyDescent="0.35">
      <c r="A44" s="12" t="s">
        <v>70</v>
      </c>
      <c r="B44" s="12">
        <v>2</v>
      </c>
      <c r="C44" s="13" t="s">
        <v>20</v>
      </c>
      <c r="D44" s="14">
        <v>343750</v>
      </c>
      <c r="E44" s="12">
        <v>1000</v>
      </c>
      <c r="F44" s="13" t="s">
        <v>20</v>
      </c>
      <c r="G44" s="15">
        <v>0</v>
      </c>
      <c r="H44" s="14">
        <f t="shared" si="1"/>
        <v>687.5</v>
      </c>
    </row>
    <row r="45" spans="1:8" x14ac:dyDescent="0.35">
      <c r="A45" s="12" t="s">
        <v>71</v>
      </c>
      <c r="B45" s="12">
        <v>2</v>
      </c>
      <c r="C45" s="13" t="s">
        <v>20</v>
      </c>
      <c r="D45" s="14">
        <v>125000</v>
      </c>
      <c r="E45" s="12">
        <v>1000</v>
      </c>
      <c r="F45" s="13" t="s">
        <v>20</v>
      </c>
      <c r="G45" s="15">
        <v>0</v>
      </c>
      <c r="H45" s="14">
        <f t="shared" si="1"/>
        <v>250</v>
      </c>
    </row>
    <row r="46" spans="1:8" x14ac:dyDescent="0.35">
      <c r="A46" s="12" t="s">
        <v>57</v>
      </c>
      <c r="B46" s="12">
        <v>10</v>
      </c>
      <c r="C46" s="13" t="s">
        <v>20</v>
      </c>
      <c r="D46" s="14">
        <v>45000</v>
      </c>
      <c r="E46" s="12">
        <v>1000</v>
      </c>
      <c r="F46" s="13" t="s">
        <v>20</v>
      </c>
      <c r="G46" s="15">
        <v>0</v>
      </c>
      <c r="H46" s="14">
        <f t="shared" si="1"/>
        <v>450</v>
      </c>
    </row>
    <row r="47" spans="1:8" x14ac:dyDescent="0.35">
      <c r="C47" s="20"/>
      <c r="D47" s="17" t="s">
        <v>31</v>
      </c>
      <c r="E47" s="17"/>
      <c r="F47" s="17"/>
      <c r="G47" s="17"/>
      <c r="H47" s="18">
        <f>SUM(H39:H46)</f>
        <v>50612.5</v>
      </c>
    </row>
    <row r="48" spans="1:8" x14ac:dyDescent="0.35">
      <c r="C48" s="20"/>
      <c r="D48" s="17" t="s">
        <v>32</v>
      </c>
      <c r="E48" s="17"/>
      <c r="F48" s="17"/>
      <c r="G48" s="17"/>
      <c r="H48" s="18">
        <f>H47*0.15</f>
        <v>7591.875</v>
      </c>
    </row>
    <row r="49" spans="1:8" x14ac:dyDescent="0.35">
      <c r="C49" s="20"/>
      <c r="D49" s="12" t="s">
        <v>12</v>
      </c>
      <c r="E49" s="12"/>
      <c r="F49" s="12"/>
      <c r="G49" s="12"/>
      <c r="H49" s="14">
        <f>H47+H48</f>
        <v>58204.375</v>
      </c>
    </row>
    <row r="50" spans="1:8" x14ac:dyDescent="0.35">
      <c r="C50" s="20"/>
      <c r="D50" s="12" t="s">
        <v>33</v>
      </c>
      <c r="E50" s="12"/>
      <c r="F50" s="12"/>
      <c r="G50" s="12"/>
      <c r="H50" s="14">
        <f>H49/H35</f>
        <v>14.55109375</v>
      </c>
    </row>
    <row r="51" spans="1:8" x14ac:dyDescent="0.35">
      <c r="C51" s="20"/>
      <c r="D51" s="12" t="s">
        <v>34</v>
      </c>
      <c r="E51" s="12"/>
      <c r="F51" s="12"/>
      <c r="G51" s="12"/>
      <c r="H51" s="21">
        <v>14.55</v>
      </c>
    </row>
    <row r="52" spans="1:8" x14ac:dyDescent="0.35">
      <c r="C52" s="20"/>
      <c r="D52" s="12" t="s">
        <v>35</v>
      </c>
      <c r="E52" s="12"/>
      <c r="F52" s="12"/>
      <c r="G52" s="12"/>
      <c r="H52" s="15">
        <f>H50/H51</f>
        <v>1.0000751718213057</v>
      </c>
    </row>
    <row r="53" spans="1:8" x14ac:dyDescent="0.35">
      <c r="C53" s="20"/>
      <c r="D53" s="12" t="s">
        <v>36</v>
      </c>
      <c r="E53" s="12"/>
      <c r="F53" s="12"/>
      <c r="G53" s="12"/>
      <c r="H53" s="14">
        <f>H51-H50</f>
        <v>-1.0937499999990052E-3</v>
      </c>
    </row>
    <row r="55" spans="1:8" ht="21.5" thickBot="1" x14ac:dyDescent="0.55000000000000004">
      <c r="A55" s="27" t="s">
        <v>0</v>
      </c>
      <c r="B55" s="28"/>
      <c r="C55" s="28"/>
      <c r="D55" s="28"/>
      <c r="E55" s="28"/>
      <c r="F55" s="28"/>
      <c r="G55" s="28"/>
    </row>
    <row r="56" spans="1:8" x14ac:dyDescent="0.35">
      <c r="A56" s="1"/>
      <c r="B56" s="2"/>
      <c r="C56" s="2"/>
      <c r="D56" s="2"/>
      <c r="E56" s="2"/>
      <c r="F56" s="2"/>
      <c r="G56" s="2"/>
      <c r="H56" s="3"/>
    </row>
    <row r="57" spans="1:8" x14ac:dyDescent="0.35">
      <c r="A57" s="4" t="s">
        <v>1</v>
      </c>
      <c r="B57" t="s">
        <v>2</v>
      </c>
      <c r="H57" s="5"/>
    </row>
    <row r="58" spans="1:8" x14ac:dyDescent="0.35">
      <c r="A58" s="4" t="s">
        <v>3</v>
      </c>
      <c r="B58" t="s">
        <v>4</v>
      </c>
      <c r="H58" s="5"/>
    </row>
    <row r="59" spans="1:8" x14ac:dyDescent="0.35">
      <c r="A59" s="4" t="s">
        <v>5</v>
      </c>
      <c r="B59" t="s">
        <v>73</v>
      </c>
      <c r="H59" s="5"/>
    </row>
    <row r="60" spans="1:8" x14ac:dyDescent="0.35">
      <c r="A60" s="4" t="s">
        <v>6</v>
      </c>
      <c r="B60" s="25">
        <v>46178</v>
      </c>
      <c r="H60" s="5"/>
    </row>
    <row r="61" spans="1:8" ht="15" thickBot="1" x14ac:dyDescent="0.4">
      <c r="A61" s="6" t="s">
        <v>7</v>
      </c>
      <c r="B61" s="7"/>
      <c r="C61" s="7"/>
      <c r="D61" s="7"/>
      <c r="E61" s="7"/>
      <c r="F61" s="7"/>
      <c r="G61" s="7"/>
      <c r="H61" s="8"/>
    </row>
    <row r="62" spans="1:8" ht="15" thickBot="1" x14ac:dyDescent="0.4">
      <c r="A62" s="1"/>
      <c r="B62" s="2"/>
      <c r="C62" s="2"/>
      <c r="D62" s="2"/>
      <c r="E62" s="2"/>
      <c r="F62" s="2"/>
      <c r="G62" s="2"/>
      <c r="H62" s="3"/>
    </row>
    <row r="63" spans="1:8" ht="16" thickBot="1" x14ac:dyDescent="0.4">
      <c r="A63" s="9" t="s">
        <v>8</v>
      </c>
      <c r="B63" s="29" t="s">
        <v>9</v>
      </c>
      <c r="C63" s="29"/>
      <c r="D63" s="29"/>
      <c r="E63" s="29"/>
      <c r="F63" s="29"/>
      <c r="G63" s="29"/>
      <c r="H63" s="10">
        <v>10</v>
      </c>
    </row>
    <row r="64" spans="1:8" ht="15.5" x14ac:dyDescent="0.35">
      <c r="A64" s="30" t="s">
        <v>10</v>
      </c>
      <c r="B64" s="32" t="s">
        <v>11</v>
      </c>
      <c r="C64" s="32"/>
      <c r="D64" s="32"/>
      <c r="E64" s="32"/>
      <c r="F64" s="32"/>
      <c r="G64" s="32"/>
      <c r="H64" s="11" t="s">
        <v>12</v>
      </c>
    </row>
    <row r="65" spans="1:8" x14ac:dyDescent="0.35">
      <c r="A65" s="31"/>
      <c r="B65" s="33" t="s">
        <v>13</v>
      </c>
      <c r="C65" s="33" t="s">
        <v>14</v>
      </c>
      <c r="D65" s="33" t="s">
        <v>15</v>
      </c>
      <c r="E65" s="33" t="s">
        <v>16</v>
      </c>
      <c r="F65" s="33" t="s">
        <v>17</v>
      </c>
      <c r="G65" s="33" t="s">
        <v>18</v>
      </c>
      <c r="H65" s="26" t="s">
        <v>19</v>
      </c>
    </row>
    <row r="66" spans="1:8" x14ac:dyDescent="0.35">
      <c r="A66" s="31"/>
      <c r="B66" s="33"/>
      <c r="C66" s="33"/>
      <c r="D66" s="33"/>
      <c r="E66" s="33"/>
      <c r="F66" s="33"/>
      <c r="G66" s="33"/>
      <c r="H66" s="26"/>
    </row>
    <row r="67" spans="1:8" x14ac:dyDescent="0.35">
      <c r="A67" s="12" t="s">
        <v>74</v>
      </c>
      <c r="B67" s="12">
        <v>250</v>
      </c>
      <c r="C67" s="13" t="s">
        <v>20</v>
      </c>
      <c r="D67" s="14">
        <v>24980</v>
      </c>
      <c r="E67" s="12">
        <v>1000</v>
      </c>
      <c r="F67" s="13" t="s">
        <v>20</v>
      </c>
      <c r="G67" s="15">
        <v>0</v>
      </c>
      <c r="H67" s="14">
        <f>IF(B67&gt;0,(D67+(D67*G67))*B67/E67,0)</f>
        <v>6245</v>
      </c>
    </row>
    <row r="68" spans="1:8" x14ac:dyDescent="0.35">
      <c r="A68" s="19" t="s">
        <v>75</v>
      </c>
      <c r="B68" s="12">
        <v>100</v>
      </c>
      <c r="C68" s="13" t="s">
        <v>20</v>
      </c>
      <c r="D68" s="14">
        <v>52727</v>
      </c>
      <c r="E68" s="12">
        <v>1000</v>
      </c>
      <c r="F68" s="13" t="s">
        <v>20</v>
      </c>
      <c r="G68" s="15">
        <v>0</v>
      </c>
      <c r="H68" s="14">
        <f t="shared" ref="H68:H79" si="2">IF(B68&gt;0,(D68+(D68*G68))*B68/E68,0)</f>
        <v>5272.7</v>
      </c>
    </row>
    <row r="69" spans="1:8" x14ac:dyDescent="0.35">
      <c r="A69" s="19" t="s">
        <v>76</v>
      </c>
      <c r="B69" s="12">
        <v>100</v>
      </c>
      <c r="C69" s="13" t="s">
        <v>20</v>
      </c>
      <c r="D69" s="14">
        <v>95220</v>
      </c>
      <c r="E69" s="12">
        <v>1000</v>
      </c>
      <c r="F69" s="13" t="s">
        <v>20</v>
      </c>
      <c r="G69" s="15">
        <v>0</v>
      </c>
      <c r="H69" s="14">
        <f t="shared" si="2"/>
        <v>9522</v>
      </c>
    </row>
    <row r="70" spans="1:8" x14ac:dyDescent="0.35">
      <c r="A70" s="19" t="s">
        <v>48</v>
      </c>
      <c r="B70" s="12">
        <v>100</v>
      </c>
      <c r="C70" s="13" t="s">
        <v>20</v>
      </c>
      <c r="D70" s="14">
        <v>35000</v>
      </c>
      <c r="E70" s="12">
        <v>1000</v>
      </c>
      <c r="F70" s="13" t="s">
        <v>20</v>
      </c>
      <c r="G70" s="15">
        <v>0</v>
      </c>
      <c r="H70" s="14">
        <f t="shared" si="2"/>
        <v>3500</v>
      </c>
    </row>
    <row r="71" spans="1:8" x14ac:dyDescent="0.35">
      <c r="A71" s="19" t="s">
        <v>77</v>
      </c>
      <c r="B71" s="12">
        <v>100</v>
      </c>
      <c r="C71" s="13" t="s">
        <v>20</v>
      </c>
      <c r="D71" s="14">
        <v>104362</v>
      </c>
      <c r="E71" s="12">
        <v>1000</v>
      </c>
      <c r="F71" s="13" t="s">
        <v>20</v>
      </c>
      <c r="G71" s="15">
        <v>0</v>
      </c>
      <c r="H71" s="14">
        <f t="shared" si="2"/>
        <v>10436.200000000001</v>
      </c>
    </row>
    <row r="72" spans="1:8" x14ac:dyDescent="0.35">
      <c r="A72" s="19" t="s">
        <v>78</v>
      </c>
      <c r="B72" s="12">
        <v>100</v>
      </c>
      <c r="C72" s="13" t="s">
        <v>20</v>
      </c>
      <c r="D72" s="14">
        <v>75106</v>
      </c>
      <c r="E72" s="12">
        <v>1000</v>
      </c>
      <c r="F72" s="13" t="s">
        <v>20</v>
      </c>
      <c r="G72" s="15">
        <v>0</v>
      </c>
      <c r="H72" s="14">
        <f t="shared" si="2"/>
        <v>7510.6</v>
      </c>
    </row>
    <row r="73" spans="1:8" x14ac:dyDescent="0.35">
      <c r="A73" s="19" t="s">
        <v>79</v>
      </c>
      <c r="B73" s="12">
        <v>50</v>
      </c>
      <c r="C73" s="13" t="s">
        <v>20</v>
      </c>
      <c r="D73" s="14">
        <v>65332</v>
      </c>
      <c r="E73" s="12">
        <v>1000</v>
      </c>
      <c r="F73" s="13" t="s">
        <v>20</v>
      </c>
      <c r="G73" s="15">
        <v>0</v>
      </c>
      <c r="H73" s="14">
        <f t="shared" si="2"/>
        <v>3266.6</v>
      </c>
    </row>
    <row r="74" spans="1:8" x14ac:dyDescent="0.35">
      <c r="A74" s="19" t="s">
        <v>58</v>
      </c>
      <c r="B74" s="12">
        <v>50</v>
      </c>
      <c r="C74" s="13" t="s">
        <v>20</v>
      </c>
      <c r="D74" s="14">
        <v>280800</v>
      </c>
      <c r="E74" s="12">
        <v>3150</v>
      </c>
      <c r="F74" s="13" t="s">
        <v>20</v>
      </c>
      <c r="G74" s="15">
        <v>0</v>
      </c>
      <c r="H74" s="14">
        <f t="shared" si="2"/>
        <v>4457.1428571428569</v>
      </c>
    </row>
    <row r="75" spans="1:8" x14ac:dyDescent="0.35">
      <c r="A75" s="19" t="s">
        <v>80</v>
      </c>
      <c r="B75" s="12">
        <v>30</v>
      </c>
      <c r="C75" s="13" t="s">
        <v>20</v>
      </c>
      <c r="D75" s="14">
        <v>388800</v>
      </c>
      <c r="E75" s="12">
        <v>1000</v>
      </c>
      <c r="F75" s="13" t="s">
        <v>20</v>
      </c>
      <c r="G75" s="15">
        <v>0</v>
      </c>
      <c r="H75" s="14">
        <f t="shared" si="2"/>
        <v>11664</v>
      </c>
    </row>
    <row r="76" spans="1:8" x14ac:dyDescent="0.35">
      <c r="A76" s="19" t="s">
        <v>29</v>
      </c>
      <c r="B76" s="12">
        <v>10</v>
      </c>
      <c r="C76" s="13" t="s">
        <v>20</v>
      </c>
      <c r="D76" s="14">
        <v>9000</v>
      </c>
      <c r="E76" s="12">
        <v>1000</v>
      </c>
      <c r="F76" s="13" t="s">
        <v>20</v>
      </c>
      <c r="G76" s="15">
        <v>0</v>
      </c>
      <c r="H76" s="14">
        <f t="shared" si="2"/>
        <v>90</v>
      </c>
    </row>
    <row r="77" spans="1:8" x14ac:dyDescent="0.35">
      <c r="A77" s="19" t="s">
        <v>30</v>
      </c>
      <c r="B77" s="12">
        <v>10</v>
      </c>
      <c r="C77" s="13" t="s">
        <v>20</v>
      </c>
      <c r="D77" s="14">
        <v>45000</v>
      </c>
      <c r="E77" s="12">
        <v>1000</v>
      </c>
      <c r="F77" s="13" t="s">
        <v>20</v>
      </c>
      <c r="G77" s="15">
        <v>0</v>
      </c>
      <c r="H77" s="14">
        <f t="shared" si="2"/>
        <v>450</v>
      </c>
    </row>
    <row r="78" spans="1:8" x14ac:dyDescent="0.35">
      <c r="A78" s="19" t="s">
        <v>67</v>
      </c>
      <c r="B78" s="12">
        <v>150</v>
      </c>
      <c r="C78" s="13" t="s">
        <v>26</v>
      </c>
      <c r="D78" s="14">
        <v>14.55</v>
      </c>
      <c r="E78" s="12">
        <v>1</v>
      </c>
      <c r="F78" s="13" t="s">
        <v>26</v>
      </c>
      <c r="G78" s="15">
        <v>0</v>
      </c>
      <c r="H78" s="14">
        <f t="shared" si="2"/>
        <v>2182.5</v>
      </c>
    </row>
    <row r="79" spans="1:8" x14ac:dyDescent="0.35">
      <c r="A79" s="19" t="s">
        <v>81</v>
      </c>
      <c r="B79" s="12">
        <v>20</v>
      </c>
      <c r="C79" s="13" t="s">
        <v>26</v>
      </c>
      <c r="D79" s="14">
        <v>185000</v>
      </c>
      <c r="E79" s="12">
        <v>3000</v>
      </c>
      <c r="F79" s="13" t="s">
        <v>26</v>
      </c>
      <c r="G79" s="15">
        <v>0</v>
      </c>
      <c r="H79" s="14">
        <f t="shared" si="2"/>
        <v>1233.3333333333333</v>
      </c>
    </row>
    <row r="80" spans="1:8" x14ac:dyDescent="0.35">
      <c r="D80" s="17" t="s">
        <v>31</v>
      </c>
      <c r="E80" s="17"/>
      <c r="F80" s="17"/>
      <c r="G80" s="17"/>
      <c r="H80" s="18">
        <f>SUM(H67:H79)</f>
        <v>65830.076190476189</v>
      </c>
    </row>
    <row r="81" spans="1:8" x14ac:dyDescent="0.35">
      <c r="D81" s="17" t="s">
        <v>32</v>
      </c>
      <c r="E81" s="17"/>
      <c r="F81" s="17"/>
      <c r="G81" s="17"/>
      <c r="H81" s="18">
        <f>H80*0.15</f>
        <v>9874.511428571428</v>
      </c>
    </row>
    <row r="82" spans="1:8" x14ac:dyDescent="0.35">
      <c r="D82" s="12" t="s">
        <v>12</v>
      </c>
      <c r="E82" s="12"/>
      <c r="F82" s="12"/>
      <c r="G82" s="12"/>
      <c r="H82" s="14">
        <f>H80+H81</f>
        <v>75704.587619047612</v>
      </c>
    </row>
    <row r="83" spans="1:8" x14ac:dyDescent="0.35">
      <c r="D83" s="12" t="s">
        <v>33</v>
      </c>
      <c r="E83" s="12"/>
      <c r="F83" s="12"/>
      <c r="G83" s="12"/>
      <c r="H83" s="14">
        <f>H82/H63</f>
        <v>7570.4587619047616</v>
      </c>
    </row>
    <row r="84" spans="1:8" x14ac:dyDescent="0.35">
      <c r="D84" s="12" t="s">
        <v>34</v>
      </c>
      <c r="E84" s="12"/>
      <c r="F84" s="12"/>
      <c r="G84" s="12"/>
      <c r="H84" s="21">
        <v>7570</v>
      </c>
    </row>
    <row r="85" spans="1:8" x14ac:dyDescent="0.35">
      <c r="D85" s="12" t="s">
        <v>35</v>
      </c>
      <c r="E85" s="12"/>
      <c r="F85" s="12"/>
      <c r="G85" s="12"/>
      <c r="H85" s="15">
        <f>H83/H84</f>
        <v>1.000060602629427</v>
      </c>
    </row>
    <row r="86" spans="1:8" x14ac:dyDescent="0.35">
      <c r="D86" s="12" t="s">
        <v>36</v>
      </c>
      <c r="E86" s="12"/>
      <c r="F86" s="12"/>
      <c r="G86" s="12"/>
      <c r="H86" s="14">
        <f>H84-H83</f>
        <v>-0.45876190476155898</v>
      </c>
    </row>
    <row r="89" spans="1:8" ht="21.5" thickBot="1" x14ac:dyDescent="0.55000000000000004">
      <c r="A89" s="27" t="s">
        <v>0</v>
      </c>
      <c r="B89" s="28"/>
      <c r="C89" s="28"/>
      <c r="D89" s="28"/>
      <c r="E89" s="28"/>
      <c r="F89" s="28"/>
      <c r="G89" s="28"/>
    </row>
    <row r="90" spans="1:8" x14ac:dyDescent="0.35">
      <c r="A90" s="1"/>
      <c r="B90" s="2"/>
      <c r="C90" s="2"/>
      <c r="D90" s="2"/>
      <c r="E90" s="2"/>
      <c r="F90" s="2"/>
      <c r="G90" s="2"/>
      <c r="H90" s="3"/>
    </row>
    <row r="91" spans="1:8" x14ac:dyDescent="0.35">
      <c r="A91" s="4" t="s">
        <v>1</v>
      </c>
      <c r="B91" t="s">
        <v>2</v>
      </c>
      <c r="H91" s="5"/>
    </row>
    <row r="92" spans="1:8" x14ac:dyDescent="0.35">
      <c r="A92" s="4" t="s">
        <v>3</v>
      </c>
      <c r="B92" t="s">
        <v>4</v>
      </c>
      <c r="H92" s="5"/>
    </row>
    <row r="93" spans="1:8" x14ac:dyDescent="0.35">
      <c r="A93" s="4" t="s">
        <v>5</v>
      </c>
      <c r="B93" t="s">
        <v>82</v>
      </c>
      <c r="H93" s="5"/>
    </row>
    <row r="94" spans="1:8" x14ac:dyDescent="0.35">
      <c r="A94" s="4" t="s">
        <v>6</v>
      </c>
      <c r="B94" s="25">
        <v>46178</v>
      </c>
      <c r="H94" s="5"/>
    </row>
    <row r="95" spans="1:8" ht="15" thickBot="1" x14ac:dyDescent="0.4">
      <c r="A95" s="6" t="s">
        <v>7</v>
      </c>
      <c r="B95" s="7"/>
      <c r="C95" s="7"/>
      <c r="D95" s="7"/>
      <c r="E95" s="7"/>
      <c r="F95" s="7"/>
      <c r="G95" s="7"/>
      <c r="H95" s="8"/>
    </row>
    <row r="96" spans="1:8" ht="15" thickBot="1" x14ac:dyDescent="0.4">
      <c r="A96" s="1"/>
      <c r="B96" s="2"/>
      <c r="C96" s="2"/>
      <c r="D96" s="2"/>
      <c r="E96" s="2"/>
      <c r="F96" s="2"/>
      <c r="G96" s="2"/>
      <c r="H96" s="3"/>
    </row>
    <row r="97" spans="1:8" ht="16" thickBot="1" x14ac:dyDescent="0.4">
      <c r="A97" s="9" t="s">
        <v>8</v>
      </c>
      <c r="B97" s="29" t="s">
        <v>9</v>
      </c>
      <c r="C97" s="29"/>
      <c r="D97" s="29"/>
      <c r="E97" s="29"/>
      <c r="F97" s="29"/>
      <c r="G97" s="29"/>
      <c r="H97" s="10">
        <v>1000</v>
      </c>
    </row>
    <row r="98" spans="1:8" ht="15.5" customHeight="1" x14ac:dyDescent="0.35">
      <c r="A98" s="30" t="s">
        <v>10</v>
      </c>
      <c r="B98" s="32" t="s">
        <v>11</v>
      </c>
      <c r="C98" s="32"/>
      <c r="D98" s="32"/>
      <c r="E98" s="32"/>
      <c r="F98" s="32"/>
      <c r="G98" s="32"/>
      <c r="H98" s="11" t="s">
        <v>12</v>
      </c>
    </row>
    <row r="99" spans="1:8" ht="14.5" customHeight="1" x14ac:dyDescent="0.35">
      <c r="A99" s="31"/>
      <c r="B99" s="33" t="s">
        <v>13</v>
      </c>
      <c r="C99" s="33" t="s">
        <v>14</v>
      </c>
      <c r="D99" s="33" t="s">
        <v>15</v>
      </c>
      <c r="E99" s="33" t="s">
        <v>16</v>
      </c>
      <c r="F99" s="33" t="s">
        <v>17</v>
      </c>
      <c r="G99" s="33" t="s">
        <v>18</v>
      </c>
      <c r="H99" s="26" t="s">
        <v>19</v>
      </c>
    </row>
    <row r="100" spans="1:8" ht="14.5" customHeight="1" x14ac:dyDescent="0.35">
      <c r="A100" s="31"/>
      <c r="B100" s="33"/>
      <c r="C100" s="33"/>
      <c r="D100" s="33"/>
      <c r="E100" s="33"/>
      <c r="F100" s="33"/>
      <c r="G100" s="33"/>
      <c r="H100" s="26"/>
    </row>
    <row r="101" spans="1:8" x14ac:dyDescent="0.35">
      <c r="A101" s="12" t="s">
        <v>83</v>
      </c>
      <c r="B101" s="12">
        <v>50</v>
      </c>
      <c r="C101" s="13" t="s">
        <v>20</v>
      </c>
      <c r="D101" s="14">
        <v>126637</v>
      </c>
      <c r="E101" s="12">
        <v>1000</v>
      </c>
      <c r="F101" s="13" t="s">
        <v>20</v>
      </c>
      <c r="G101" s="15">
        <v>0</v>
      </c>
      <c r="H101" s="14">
        <f>IF(B101&gt;0,(D101+(D101*G101))*B101/E101,0)</f>
        <v>6331.85</v>
      </c>
    </row>
    <row r="102" spans="1:8" x14ac:dyDescent="0.35">
      <c r="A102" s="12" t="s">
        <v>48</v>
      </c>
      <c r="B102" s="12">
        <v>140</v>
      </c>
      <c r="C102" s="13" t="s">
        <v>20</v>
      </c>
      <c r="D102" s="14">
        <v>35000</v>
      </c>
      <c r="E102" s="12">
        <v>1000</v>
      </c>
      <c r="F102" s="13" t="s">
        <v>20</v>
      </c>
      <c r="G102" s="15">
        <v>0</v>
      </c>
      <c r="H102" s="14">
        <f t="shared" ref="H102:H115" si="3">IF(B102&gt;0,(D102+(D102*G102))*B102/E102,0)</f>
        <v>4900</v>
      </c>
    </row>
    <row r="103" spans="1:8" x14ac:dyDescent="0.35">
      <c r="A103" s="12" t="s">
        <v>49</v>
      </c>
      <c r="B103" s="12">
        <v>70</v>
      </c>
      <c r="C103" s="13" t="s">
        <v>20</v>
      </c>
      <c r="D103" s="14">
        <v>25000</v>
      </c>
      <c r="E103" s="12">
        <v>1000</v>
      </c>
      <c r="F103" s="13" t="s">
        <v>20</v>
      </c>
      <c r="G103" s="15">
        <v>0</v>
      </c>
      <c r="H103" s="14">
        <f t="shared" si="3"/>
        <v>1750</v>
      </c>
    </row>
    <row r="104" spans="1:8" x14ac:dyDescent="0.35">
      <c r="A104" s="12" t="s">
        <v>40</v>
      </c>
      <c r="B104" s="12">
        <v>35</v>
      </c>
      <c r="C104" s="13" t="s">
        <v>20</v>
      </c>
      <c r="D104" s="14">
        <v>50000</v>
      </c>
      <c r="E104" s="12">
        <v>1000</v>
      </c>
      <c r="F104" s="13" t="s">
        <v>20</v>
      </c>
      <c r="G104" s="15">
        <v>0</v>
      </c>
      <c r="H104" s="14">
        <f t="shared" si="3"/>
        <v>1750</v>
      </c>
    </row>
    <row r="105" spans="1:8" x14ac:dyDescent="0.35">
      <c r="A105" s="12" t="s">
        <v>84</v>
      </c>
      <c r="B105" s="12">
        <v>20</v>
      </c>
      <c r="C105" s="13" t="s">
        <v>20</v>
      </c>
      <c r="D105" s="14">
        <v>40000</v>
      </c>
      <c r="E105" s="12">
        <v>1000</v>
      </c>
      <c r="F105" s="13" t="s">
        <v>20</v>
      </c>
      <c r="G105" s="15">
        <v>0</v>
      </c>
      <c r="H105" s="14">
        <f t="shared" si="3"/>
        <v>800</v>
      </c>
    </row>
    <row r="106" spans="1:8" x14ac:dyDescent="0.35">
      <c r="A106" s="12" t="s">
        <v>70</v>
      </c>
      <c r="B106" s="12">
        <v>5</v>
      </c>
      <c r="C106" s="13" t="s">
        <v>20</v>
      </c>
      <c r="D106" s="14">
        <v>343750</v>
      </c>
      <c r="E106" s="12">
        <v>1000</v>
      </c>
      <c r="F106" s="13" t="s">
        <v>20</v>
      </c>
      <c r="G106" s="15">
        <v>0</v>
      </c>
      <c r="H106" s="14">
        <f t="shared" si="3"/>
        <v>1718.75</v>
      </c>
    </row>
    <row r="107" spans="1:8" x14ac:dyDescent="0.35">
      <c r="A107" s="12" t="s">
        <v>52</v>
      </c>
      <c r="B107" s="12">
        <v>3</v>
      </c>
      <c r="C107" s="13" t="s">
        <v>20</v>
      </c>
      <c r="D107" s="14">
        <v>47500</v>
      </c>
      <c r="E107" s="12">
        <v>200</v>
      </c>
      <c r="F107" s="13" t="s">
        <v>20</v>
      </c>
      <c r="G107" s="15">
        <v>0</v>
      </c>
      <c r="H107" s="14">
        <f t="shared" si="3"/>
        <v>712.5</v>
      </c>
    </row>
    <row r="108" spans="1:8" x14ac:dyDescent="0.35">
      <c r="A108" s="12" t="s">
        <v>85</v>
      </c>
      <c r="B108" s="12">
        <v>30</v>
      </c>
      <c r="C108" s="13" t="s">
        <v>20</v>
      </c>
      <c r="D108" s="14">
        <v>18900</v>
      </c>
      <c r="E108" s="12">
        <v>1000</v>
      </c>
      <c r="F108" s="13" t="s">
        <v>20</v>
      </c>
      <c r="G108" s="15">
        <v>0</v>
      </c>
      <c r="H108" s="14">
        <f t="shared" si="3"/>
        <v>567</v>
      </c>
    </row>
    <row r="109" spans="1:8" x14ac:dyDescent="0.35">
      <c r="A109" s="12" t="s">
        <v>60</v>
      </c>
      <c r="B109" s="12">
        <v>250</v>
      </c>
      <c r="C109" s="13" t="s">
        <v>20</v>
      </c>
      <c r="D109" s="14">
        <v>28080</v>
      </c>
      <c r="E109" s="12">
        <v>1000</v>
      </c>
      <c r="F109" s="13" t="s">
        <v>20</v>
      </c>
      <c r="G109" s="15">
        <v>0</v>
      </c>
      <c r="H109" s="14">
        <f t="shared" si="3"/>
        <v>7020</v>
      </c>
    </row>
    <row r="110" spans="1:8" x14ac:dyDescent="0.35">
      <c r="A110" s="12" t="s">
        <v>86</v>
      </c>
      <c r="B110" s="12">
        <v>500</v>
      </c>
      <c r="C110" s="13" t="s">
        <v>20</v>
      </c>
      <c r="D110" s="14">
        <v>24980</v>
      </c>
      <c r="E110" s="12">
        <v>1000</v>
      </c>
      <c r="F110" s="13" t="s">
        <v>20</v>
      </c>
      <c r="G110" s="15">
        <v>0</v>
      </c>
      <c r="H110" s="14">
        <f t="shared" si="3"/>
        <v>12490</v>
      </c>
    </row>
    <row r="111" spans="1:8" x14ac:dyDescent="0.35">
      <c r="A111" s="12" t="s">
        <v>58</v>
      </c>
      <c r="B111" s="12">
        <v>100</v>
      </c>
      <c r="C111" s="13" t="s">
        <v>20</v>
      </c>
      <c r="D111" s="14">
        <v>280800</v>
      </c>
      <c r="E111" s="12">
        <v>3150</v>
      </c>
      <c r="F111" s="13" t="s">
        <v>20</v>
      </c>
      <c r="G111" s="15">
        <v>0</v>
      </c>
      <c r="H111" s="14">
        <f t="shared" si="3"/>
        <v>8914.2857142857138</v>
      </c>
    </row>
    <row r="112" spans="1:8" x14ac:dyDescent="0.35">
      <c r="A112" s="12" t="s">
        <v>67</v>
      </c>
      <c r="B112" s="12">
        <v>1000</v>
      </c>
      <c r="C112" s="13" t="s">
        <v>26</v>
      </c>
      <c r="D112" s="14">
        <v>14.55</v>
      </c>
      <c r="E112" s="12">
        <v>1</v>
      </c>
      <c r="F112" s="13" t="s">
        <v>26</v>
      </c>
      <c r="G112" s="15">
        <v>0</v>
      </c>
      <c r="H112" s="14">
        <f t="shared" si="3"/>
        <v>14550</v>
      </c>
    </row>
    <row r="113" spans="1:8" x14ac:dyDescent="0.35">
      <c r="A113" s="12" t="s">
        <v>29</v>
      </c>
      <c r="B113" s="12">
        <v>15</v>
      </c>
      <c r="C113" s="13" t="s">
        <v>20</v>
      </c>
      <c r="D113" s="14">
        <v>9000</v>
      </c>
      <c r="E113" s="12">
        <v>1000</v>
      </c>
      <c r="F113" s="13" t="s">
        <v>20</v>
      </c>
      <c r="G113" s="15">
        <v>0</v>
      </c>
      <c r="H113" s="14">
        <f t="shared" si="3"/>
        <v>135</v>
      </c>
    </row>
    <row r="114" spans="1:8" x14ac:dyDescent="0.35">
      <c r="A114" s="12" t="s">
        <v>30</v>
      </c>
      <c r="B114" s="12">
        <v>15</v>
      </c>
      <c r="C114" s="13" t="s">
        <v>20</v>
      </c>
      <c r="D114" s="14">
        <v>45000</v>
      </c>
      <c r="E114" s="12">
        <v>1000</v>
      </c>
      <c r="F114" s="13" t="s">
        <v>20</v>
      </c>
      <c r="G114" s="15">
        <v>0</v>
      </c>
      <c r="H114" s="14">
        <f t="shared" si="3"/>
        <v>675</v>
      </c>
    </row>
    <row r="115" spans="1:8" x14ac:dyDescent="0.35">
      <c r="A115" s="12" t="s">
        <v>87</v>
      </c>
      <c r="B115" s="12">
        <v>10</v>
      </c>
      <c r="C115" s="13" t="s">
        <v>26</v>
      </c>
      <c r="D115" s="14">
        <v>75000</v>
      </c>
      <c r="E115" s="12">
        <v>150</v>
      </c>
      <c r="F115" s="13" t="s">
        <v>26</v>
      </c>
      <c r="G115" s="15">
        <v>0</v>
      </c>
      <c r="H115" s="14">
        <f t="shared" si="3"/>
        <v>5000</v>
      </c>
    </row>
    <row r="116" spans="1:8" x14ac:dyDescent="0.35">
      <c r="D116" s="17" t="s">
        <v>31</v>
      </c>
      <c r="E116" s="17"/>
      <c r="F116" s="17"/>
      <c r="G116" s="17"/>
      <c r="H116" s="18">
        <f>SUM(H101:H115)</f>
        <v>67314.385714285716</v>
      </c>
    </row>
    <row r="117" spans="1:8" x14ac:dyDescent="0.35">
      <c r="D117" s="12" t="s">
        <v>32</v>
      </c>
      <c r="E117" s="12"/>
      <c r="F117" s="12"/>
      <c r="G117" s="12"/>
      <c r="H117" s="14">
        <f>H116*0.15</f>
        <v>10097.157857142856</v>
      </c>
    </row>
    <row r="118" spans="1:8" x14ac:dyDescent="0.35">
      <c r="D118" s="12" t="s">
        <v>12</v>
      </c>
      <c r="E118" s="12"/>
      <c r="F118" s="12"/>
      <c r="G118" s="12"/>
      <c r="H118" s="14">
        <f>H116+H117</f>
        <v>77411.54357142857</v>
      </c>
    </row>
    <row r="119" spans="1:8" x14ac:dyDescent="0.35">
      <c r="D119" s="12" t="s">
        <v>33</v>
      </c>
      <c r="E119" s="12"/>
      <c r="F119" s="12"/>
      <c r="G119" s="12"/>
      <c r="H119" s="14">
        <f>H118/H97</f>
        <v>77.411543571428567</v>
      </c>
    </row>
    <row r="120" spans="1:8" x14ac:dyDescent="0.35">
      <c r="D120" s="12" t="s">
        <v>34</v>
      </c>
      <c r="E120" s="12"/>
      <c r="F120" s="12"/>
      <c r="G120" s="12"/>
      <c r="H120" s="16">
        <v>78</v>
      </c>
    </row>
    <row r="121" spans="1:8" x14ac:dyDescent="0.35">
      <c r="D121" s="12" t="s">
        <v>35</v>
      </c>
      <c r="E121" s="12"/>
      <c r="F121" s="12"/>
      <c r="G121" s="12"/>
      <c r="H121" s="15">
        <f>H119/H120</f>
        <v>0.99245568681318674</v>
      </c>
    </row>
    <row r="122" spans="1:8" x14ac:dyDescent="0.35">
      <c r="D122" s="12" t="s">
        <v>36</v>
      </c>
      <c r="E122" s="12"/>
      <c r="F122" s="12"/>
      <c r="G122" s="12"/>
      <c r="H122" s="14">
        <f>H120-H119</f>
        <v>0.58845642857143332</v>
      </c>
    </row>
    <row r="125" spans="1:8" ht="21.5" thickBot="1" x14ac:dyDescent="0.55000000000000004">
      <c r="A125" s="27" t="s">
        <v>0</v>
      </c>
      <c r="B125" s="28"/>
      <c r="C125" s="28"/>
      <c r="D125" s="28"/>
      <c r="E125" s="28"/>
      <c r="F125" s="28"/>
      <c r="G125" s="28"/>
    </row>
    <row r="126" spans="1:8" x14ac:dyDescent="0.35">
      <c r="A126" s="1"/>
      <c r="B126" s="2"/>
      <c r="C126" s="2"/>
      <c r="D126" s="2"/>
      <c r="E126" s="2"/>
      <c r="F126" s="2"/>
      <c r="G126" s="2"/>
      <c r="H126" s="3"/>
    </row>
    <row r="127" spans="1:8" x14ac:dyDescent="0.35">
      <c r="A127" s="4" t="s">
        <v>1</v>
      </c>
      <c r="B127" t="s">
        <v>2</v>
      </c>
      <c r="H127" s="5"/>
    </row>
    <row r="128" spans="1:8" x14ac:dyDescent="0.35">
      <c r="A128" s="4" t="s">
        <v>3</v>
      </c>
      <c r="B128" t="s">
        <v>4</v>
      </c>
      <c r="H128" s="5"/>
    </row>
    <row r="129" spans="1:8" x14ac:dyDescent="0.35">
      <c r="A129" s="4" t="s">
        <v>5</v>
      </c>
      <c r="B129" t="s">
        <v>88</v>
      </c>
      <c r="H129" s="5"/>
    </row>
    <row r="130" spans="1:8" x14ac:dyDescent="0.35">
      <c r="A130" s="4" t="s">
        <v>6</v>
      </c>
      <c r="B130" s="25">
        <v>46178</v>
      </c>
      <c r="H130" s="5"/>
    </row>
    <row r="131" spans="1:8" ht="15" thickBot="1" x14ac:dyDescent="0.4">
      <c r="A131" s="6" t="s">
        <v>7</v>
      </c>
      <c r="B131" s="7"/>
      <c r="C131" s="7"/>
      <c r="D131" s="7"/>
      <c r="E131" s="7"/>
      <c r="F131" s="7"/>
      <c r="G131" s="7"/>
      <c r="H131" s="8"/>
    </row>
    <row r="132" spans="1:8" ht="15" thickBot="1" x14ac:dyDescent="0.4">
      <c r="A132" s="1"/>
      <c r="B132" s="2"/>
      <c r="C132" s="2"/>
      <c r="D132" s="2"/>
      <c r="E132" s="2"/>
      <c r="F132" s="2"/>
      <c r="G132" s="2"/>
      <c r="H132" s="3"/>
    </row>
    <row r="133" spans="1:8" ht="16" thickBot="1" x14ac:dyDescent="0.4">
      <c r="A133" s="9" t="s">
        <v>8</v>
      </c>
      <c r="B133" s="29" t="s">
        <v>9</v>
      </c>
      <c r="C133" s="29"/>
      <c r="D133" s="29"/>
      <c r="E133" s="29"/>
      <c r="F133" s="29"/>
      <c r="G133" s="29"/>
      <c r="H133" s="10">
        <v>1000</v>
      </c>
    </row>
    <row r="134" spans="1:8" ht="15.5" x14ac:dyDescent="0.35">
      <c r="A134" s="30" t="s">
        <v>10</v>
      </c>
      <c r="B134" s="32" t="s">
        <v>11</v>
      </c>
      <c r="C134" s="32"/>
      <c r="D134" s="32"/>
      <c r="E134" s="32"/>
      <c r="F134" s="32"/>
      <c r="G134" s="32"/>
      <c r="H134" s="11" t="s">
        <v>12</v>
      </c>
    </row>
    <row r="135" spans="1:8" x14ac:dyDescent="0.35">
      <c r="A135" s="31"/>
      <c r="B135" s="33" t="s">
        <v>13</v>
      </c>
      <c r="C135" s="33" t="s">
        <v>14</v>
      </c>
      <c r="D135" s="33" t="s">
        <v>15</v>
      </c>
      <c r="E135" s="33" t="s">
        <v>16</v>
      </c>
      <c r="F135" s="33" t="s">
        <v>17</v>
      </c>
      <c r="G135" s="33" t="s">
        <v>18</v>
      </c>
      <c r="H135" s="26" t="s">
        <v>19</v>
      </c>
    </row>
    <row r="136" spans="1:8" x14ac:dyDescent="0.35">
      <c r="A136" s="31"/>
      <c r="B136" s="33"/>
      <c r="C136" s="33"/>
      <c r="D136" s="33"/>
      <c r="E136" s="33"/>
      <c r="F136" s="33"/>
      <c r="G136" s="33"/>
      <c r="H136" s="26"/>
    </row>
    <row r="137" spans="1:8" x14ac:dyDescent="0.35">
      <c r="A137" s="12" t="s">
        <v>48</v>
      </c>
      <c r="B137" s="12">
        <v>100</v>
      </c>
      <c r="C137" s="13" t="s">
        <v>20</v>
      </c>
      <c r="D137" s="14">
        <v>35000</v>
      </c>
      <c r="E137" s="12">
        <v>1000</v>
      </c>
      <c r="F137" s="13" t="s">
        <v>20</v>
      </c>
      <c r="G137" s="15">
        <v>0</v>
      </c>
      <c r="H137" s="14">
        <f>IF(B137&gt;0,(D137+(D137*G137))*B137/E137,0)</f>
        <v>3500</v>
      </c>
    </row>
    <row r="138" spans="1:8" x14ac:dyDescent="0.35">
      <c r="A138" s="19" t="s">
        <v>50</v>
      </c>
      <c r="B138" s="12">
        <v>50</v>
      </c>
      <c r="C138" s="13" t="s">
        <v>20</v>
      </c>
      <c r="D138" s="14">
        <v>1100000</v>
      </c>
      <c r="E138" s="12">
        <v>5000</v>
      </c>
      <c r="F138" s="13" t="s">
        <v>20</v>
      </c>
      <c r="G138" s="15">
        <v>0</v>
      </c>
      <c r="H138" s="14">
        <f t="shared" ref="H138:H141" si="4">IF(B138&gt;0,(D138+(D138*G138))*B138/E138,0)</f>
        <v>11000</v>
      </c>
    </row>
    <row r="139" spans="1:8" x14ac:dyDescent="0.35">
      <c r="A139" s="19" t="s">
        <v>86</v>
      </c>
      <c r="B139" s="12">
        <v>100</v>
      </c>
      <c r="C139" s="13" t="s">
        <v>20</v>
      </c>
      <c r="D139" s="14">
        <v>24980</v>
      </c>
      <c r="E139" s="12">
        <v>1000</v>
      </c>
      <c r="F139" s="13" t="s">
        <v>20</v>
      </c>
      <c r="G139" s="15">
        <v>0</v>
      </c>
      <c r="H139" s="14">
        <f t="shared" si="4"/>
        <v>2498</v>
      </c>
    </row>
    <row r="140" spans="1:8" x14ac:dyDescent="0.35">
      <c r="A140" s="19" t="s">
        <v>82</v>
      </c>
      <c r="B140" s="12">
        <v>800</v>
      </c>
      <c r="C140" s="13" t="s">
        <v>26</v>
      </c>
      <c r="D140" s="14">
        <v>78</v>
      </c>
      <c r="E140" s="12">
        <v>1</v>
      </c>
      <c r="F140" s="13" t="s">
        <v>26</v>
      </c>
      <c r="G140" s="15">
        <v>0</v>
      </c>
      <c r="H140" s="14">
        <f t="shared" si="4"/>
        <v>62400</v>
      </c>
    </row>
    <row r="141" spans="1:8" x14ac:dyDescent="0.35">
      <c r="A141" s="19" t="s">
        <v>84</v>
      </c>
      <c r="B141" s="12">
        <v>25</v>
      </c>
      <c r="C141" s="13" t="s">
        <v>20</v>
      </c>
      <c r="D141" s="14">
        <v>40000</v>
      </c>
      <c r="E141" s="12">
        <v>1000</v>
      </c>
      <c r="F141" s="13" t="s">
        <v>20</v>
      </c>
      <c r="G141" s="15">
        <v>0</v>
      </c>
      <c r="H141" s="14">
        <f t="shared" si="4"/>
        <v>1000</v>
      </c>
    </row>
    <row r="142" spans="1:8" x14ac:dyDescent="0.35">
      <c r="A142" s="19" t="s">
        <v>89</v>
      </c>
      <c r="B142" s="12">
        <v>5</v>
      </c>
      <c r="C142" s="13" t="s">
        <v>20</v>
      </c>
      <c r="D142" s="14">
        <v>125000</v>
      </c>
      <c r="E142" s="12">
        <v>1000</v>
      </c>
      <c r="F142" s="13" t="s">
        <v>20</v>
      </c>
      <c r="G142" s="15">
        <v>0</v>
      </c>
      <c r="H142" s="14">
        <f>IF(B142&gt;0,(D142+(D142*G142))*B142/E142,0)</f>
        <v>625</v>
      </c>
    </row>
    <row r="143" spans="1:8" x14ac:dyDescent="0.35">
      <c r="D143" s="17" t="s">
        <v>31</v>
      </c>
      <c r="E143" s="17"/>
      <c r="F143" s="17"/>
      <c r="G143" s="17"/>
      <c r="H143" s="18">
        <f>SUM(H137:H142)</f>
        <v>81023</v>
      </c>
    </row>
    <row r="144" spans="1:8" x14ac:dyDescent="0.35">
      <c r="D144" s="12" t="s">
        <v>32</v>
      </c>
      <c r="E144" s="12"/>
      <c r="F144" s="12"/>
      <c r="G144" s="12"/>
      <c r="H144" s="14">
        <f>H143*0.15</f>
        <v>12153.449999999999</v>
      </c>
    </row>
    <row r="145" spans="1:8" x14ac:dyDescent="0.35">
      <c r="D145" s="12" t="s">
        <v>12</v>
      </c>
      <c r="E145" s="12"/>
      <c r="F145" s="12"/>
      <c r="G145" s="12"/>
      <c r="H145" s="14">
        <f>H143+H144</f>
        <v>93176.45</v>
      </c>
    </row>
    <row r="146" spans="1:8" x14ac:dyDescent="0.35">
      <c r="D146" s="12" t="s">
        <v>33</v>
      </c>
      <c r="E146" s="12"/>
      <c r="F146" s="12"/>
      <c r="G146" s="12"/>
      <c r="H146" s="14">
        <f>H145/H133</f>
        <v>93.176450000000003</v>
      </c>
    </row>
    <row r="147" spans="1:8" x14ac:dyDescent="0.35">
      <c r="D147" s="12" t="s">
        <v>34</v>
      </c>
      <c r="E147" s="12"/>
      <c r="F147" s="12"/>
      <c r="G147" s="12"/>
      <c r="H147" s="16">
        <v>93.18</v>
      </c>
    </row>
    <row r="148" spans="1:8" x14ac:dyDescent="0.35">
      <c r="D148" s="12" t="s">
        <v>35</v>
      </c>
      <c r="E148" s="12"/>
      <c r="F148" s="12"/>
      <c r="G148" s="12"/>
      <c r="H148" s="15">
        <f>H146/H147</f>
        <v>0.99996190169564281</v>
      </c>
    </row>
    <row r="149" spans="1:8" x14ac:dyDescent="0.35">
      <c r="D149" s="12" t="s">
        <v>36</v>
      </c>
      <c r="E149" s="12"/>
      <c r="F149" s="12"/>
      <c r="G149" s="12"/>
      <c r="H149" s="14">
        <f>H147-H146</f>
        <v>3.5500000000041609E-3</v>
      </c>
    </row>
    <row r="153" spans="1:8" ht="21.5" thickBot="1" x14ac:dyDescent="0.55000000000000004">
      <c r="A153" s="27" t="s">
        <v>0</v>
      </c>
      <c r="B153" s="28"/>
      <c r="C153" s="28"/>
      <c r="D153" s="28"/>
      <c r="E153" s="28"/>
      <c r="F153" s="28"/>
      <c r="G153" s="28"/>
    </row>
    <row r="154" spans="1:8" x14ac:dyDescent="0.35">
      <c r="A154" s="1"/>
      <c r="B154" s="2"/>
      <c r="C154" s="2"/>
      <c r="D154" s="2"/>
      <c r="E154" s="2"/>
      <c r="F154" s="2"/>
      <c r="G154" s="2"/>
      <c r="H154" s="3"/>
    </row>
    <row r="155" spans="1:8" x14ac:dyDescent="0.35">
      <c r="A155" s="4" t="s">
        <v>1</v>
      </c>
      <c r="B155" t="s">
        <v>2</v>
      </c>
      <c r="H155" s="5"/>
    </row>
    <row r="156" spans="1:8" x14ac:dyDescent="0.35">
      <c r="A156" s="4" t="s">
        <v>3</v>
      </c>
      <c r="B156" t="s">
        <v>4</v>
      </c>
      <c r="H156" s="5"/>
    </row>
    <row r="157" spans="1:8" x14ac:dyDescent="0.35">
      <c r="A157" s="4" t="s">
        <v>5</v>
      </c>
      <c r="B157" t="s">
        <v>90</v>
      </c>
      <c r="H157" s="5"/>
    </row>
    <row r="158" spans="1:8" x14ac:dyDescent="0.35">
      <c r="A158" s="4" t="s">
        <v>6</v>
      </c>
      <c r="B158" s="25">
        <v>46178</v>
      </c>
      <c r="H158" s="5"/>
    </row>
    <row r="159" spans="1:8" ht="15" thickBot="1" x14ac:dyDescent="0.4">
      <c r="A159" s="6" t="s">
        <v>7</v>
      </c>
      <c r="B159" s="7"/>
      <c r="C159" s="7"/>
      <c r="D159" s="7"/>
      <c r="E159" s="7"/>
      <c r="F159" s="7"/>
      <c r="G159" s="7"/>
      <c r="H159" s="8"/>
    </row>
    <row r="160" spans="1:8" ht="15" thickBot="1" x14ac:dyDescent="0.4">
      <c r="A160" s="1"/>
      <c r="B160" s="2"/>
      <c r="C160" s="2"/>
      <c r="D160" s="2"/>
      <c r="E160" s="2"/>
      <c r="F160" s="2"/>
      <c r="G160" s="2"/>
      <c r="H160" s="3"/>
    </row>
    <row r="161" spans="1:8" ht="16" thickBot="1" x14ac:dyDescent="0.4">
      <c r="A161" s="9" t="s">
        <v>8</v>
      </c>
      <c r="B161" s="29" t="s">
        <v>9</v>
      </c>
      <c r="C161" s="29"/>
      <c r="D161" s="29"/>
      <c r="E161" s="29"/>
      <c r="F161" s="29"/>
      <c r="G161" s="29"/>
      <c r="H161" s="10">
        <v>10</v>
      </c>
    </row>
    <row r="162" spans="1:8" ht="15.5" x14ac:dyDescent="0.35">
      <c r="A162" s="30" t="s">
        <v>10</v>
      </c>
      <c r="B162" s="32" t="s">
        <v>11</v>
      </c>
      <c r="C162" s="32"/>
      <c r="D162" s="32"/>
      <c r="E162" s="32"/>
      <c r="F162" s="32"/>
      <c r="G162" s="32"/>
      <c r="H162" s="11" t="s">
        <v>12</v>
      </c>
    </row>
    <row r="163" spans="1:8" x14ac:dyDescent="0.35">
      <c r="A163" s="31"/>
      <c r="B163" s="33" t="s">
        <v>13</v>
      </c>
      <c r="C163" s="33" t="s">
        <v>14</v>
      </c>
      <c r="D163" s="33" t="s">
        <v>15</v>
      </c>
      <c r="E163" s="33" t="s">
        <v>16</v>
      </c>
      <c r="F163" s="33" t="s">
        <v>17</v>
      </c>
      <c r="G163" s="33" t="s">
        <v>18</v>
      </c>
      <c r="H163" s="26" t="s">
        <v>19</v>
      </c>
    </row>
    <row r="164" spans="1:8" x14ac:dyDescent="0.35">
      <c r="A164" s="31"/>
      <c r="B164" s="33"/>
      <c r="C164" s="33"/>
      <c r="D164" s="33"/>
      <c r="E164" s="33"/>
      <c r="F164" s="33"/>
      <c r="G164" s="33"/>
      <c r="H164" s="26"/>
    </row>
    <row r="165" spans="1:8" x14ac:dyDescent="0.35">
      <c r="A165" s="12" t="s">
        <v>91</v>
      </c>
      <c r="B165" s="12">
        <v>1000</v>
      </c>
      <c r="C165" s="13" t="s">
        <v>20</v>
      </c>
      <c r="D165" s="14">
        <v>64239</v>
      </c>
      <c r="E165" s="12">
        <v>1000</v>
      </c>
      <c r="F165" s="13" t="s">
        <v>20</v>
      </c>
      <c r="G165" s="15">
        <v>0</v>
      </c>
      <c r="H165" s="14">
        <f>IF(B165&gt;0,(D165+(D165*G165))*B165/E165,0)</f>
        <v>64239</v>
      </c>
    </row>
    <row r="166" spans="1:8" x14ac:dyDescent="0.35">
      <c r="A166" s="19" t="s">
        <v>92</v>
      </c>
      <c r="B166" s="12">
        <v>200</v>
      </c>
      <c r="C166" s="13" t="s">
        <v>20</v>
      </c>
      <c r="D166" s="14">
        <v>131250</v>
      </c>
      <c r="E166" s="12">
        <v>1000</v>
      </c>
      <c r="F166" s="13" t="s">
        <v>20</v>
      </c>
      <c r="G166" s="15">
        <v>0</v>
      </c>
      <c r="H166" s="14">
        <f t="shared" ref="H166:H176" si="5">IF(B166&gt;0,(D166+(D166*G166))*B166/E166,0)</f>
        <v>26250</v>
      </c>
    </row>
    <row r="167" spans="1:8" x14ac:dyDescent="0.35">
      <c r="A167" s="19" t="s">
        <v>93</v>
      </c>
      <c r="B167" s="12">
        <v>200</v>
      </c>
      <c r="C167" s="13" t="s">
        <v>20</v>
      </c>
      <c r="D167" s="14">
        <v>32400</v>
      </c>
      <c r="E167" s="12">
        <v>150</v>
      </c>
      <c r="F167" s="13" t="s">
        <v>20</v>
      </c>
      <c r="G167" s="15">
        <v>0</v>
      </c>
      <c r="H167" s="14">
        <f t="shared" si="5"/>
        <v>43200</v>
      </c>
    </row>
    <row r="168" spans="1:8" x14ac:dyDescent="0.35">
      <c r="A168" s="19" t="s">
        <v>29</v>
      </c>
      <c r="B168" s="12">
        <v>30</v>
      </c>
      <c r="C168" s="13" t="s">
        <v>20</v>
      </c>
      <c r="D168" s="14">
        <v>9000</v>
      </c>
      <c r="E168" s="12">
        <v>1000</v>
      </c>
      <c r="F168" s="13" t="s">
        <v>20</v>
      </c>
      <c r="G168" s="15">
        <v>0</v>
      </c>
      <c r="H168" s="14">
        <f t="shared" si="5"/>
        <v>270</v>
      </c>
    </row>
    <row r="169" spans="1:8" x14ac:dyDescent="0.35">
      <c r="A169" s="19" t="s">
        <v>30</v>
      </c>
      <c r="B169" s="12">
        <v>30</v>
      </c>
      <c r="C169" s="13" t="s">
        <v>20</v>
      </c>
      <c r="D169" s="14">
        <v>45000</v>
      </c>
      <c r="E169" s="12">
        <v>1000</v>
      </c>
      <c r="F169" s="13" t="s">
        <v>20</v>
      </c>
      <c r="G169" s="15">
        <v>0</v>
      </c>
      <c r="H169" s="14">
        <f t="shared" si="5"/>
        <v>1350</v>
      </c>
    </row>
    <row r="170" spans="1:8" x14ac:dyDescent="0.35">
      <c r="A170" s="19" t="s">
        <v>94</v>
      </c>
      <c r="B170" s="12">
        <v>4</v>
      </c>
      <c r="C170" s="13" t="s">
        <v>24</v>
      </c>
      <c r="D170" s="14">
        <v>69000</v>
      </c>
      <c r="E170" s="12">
        <v>30</v>
      </c>
      <c r="F170" s="13" t="s">
        <v>24</v>
      </c>
      <c r="G170" s="15">
        <v>0</v>
      </c>
      <c r="H170" s="14">
        <f t="shared" si="5"/>
        <v>9200</v>
      </c>
    </row>
    <row r="171" spans="1:8" x14ac:dyDescent="0.35">
      <c r="A171" s="19" t="s">
        <v>60</v>
      </c>
      <c r="B171" s="12">
        <v>200</v>
      </c>
      <c r="C171" s="13" t="s">
        <v>20</v>
      </c>
      <c r="D171" s="14">
        <v>28080</v>
      </c>
      <c r="E171" s="12">
        <v>1000</v>
      </c>
      <c r="F171" s="13" t="s">
        <v>20</v>
      </c>
      <c r="G171" s="15">
        <v>0</v>
      </c>
      <c r="H171" s="14">
        <f t="shared" si="5"/>
        <v>5616</v>
      </c>
    </row>
    <row r="172" spans="1:8" x14ac:dyDescent="0.35">
      <c r="A172" s="19" t="s">
        <v>95</v>
      </c>
      <c r="B172" s="12">
        <v>250</v>
      </c>
      <c r="C172" s="13" t="s">
        <v>20</v>
      </c>
      <c r="D172" s="14">
        <v>29496</v>
      </c>
      <c r="E172" s="12">
        <v>1000</v>
      </c>
      <c r="F172" s="13" t="s">
        <v>20</v>
      </c>
      <c r="G172" s="15">
        <v>0</v>
      </c>
      <c r="H172" s="14">
        <f t="shared" si="5"/>
        <v>7374</v>
      </c>
    </row>
    <row r="173" spans="1:8" x14ac:dyDescent="0.35">
      <c r="A173" s="19" t="s">
        <v>81</v>
      </c>
      <c r="B173" s="12">
        <v>300</v>
      </c>
      <c r="C173" s="13" t="s">
        <v>26</v>
      </c>
      <c r="D173" s="14">
        <v>185000</v>
      </c>
      <c r="E173" s="12">
        <v>3000</v>
      </c>
      <c r="F173" s="13" t="s">
        <v>26</v>
      </c>
      <c r="G173" s="15">
        <v>0</v>
      </c>
      <c r="H173" s="14">
        <f t="shared" si="5"/>
        <v>18500</v>
      </c>
    </row>
    <row r="174" spans="1:8" x14ac:dyDescent="0.35">
      <c r="A174" s="19" t="s">
        <v>88</v>
      </c>
      <c r="B174" s="12">
        <v>300</v>
      </c>
      <c r="C174" s="22" t="s">
        <v>26</v>
      </c>
      <c r="D174" s="14">
        <v>93.18</v>
      </c>
      <c r="E174" s="12">
        <v>1</v>
      </c>
      <c r="F174" s="22" t="s">
        <v>26</v>
      </c>
      <c r="G174" s="15">
        <v>0</v>
      </c>
      <c r="H174" s="14">
        <f t="shared" si="5"/>
        <v>27954.000000000004</v>
      </c>
    </row>
    <row r="175" spans="1:8" x14ac:dyDescent="0.35">
      <c r="A175" s="19" t="s">
        <v>62</v>
      </c>
      <c r="B175" s="12">
        <v>10</v>
      </c>
      <c r="C175" s="22" t="s">
        <v>170</v>
      </c>
      <c r="D175" s="14">
        <v>8100</v>
      </c>
      <c r="E175" s="12">
        <v>1</v>
      </c>
      <c r="F175" s="22" t="s">
        <v>170</v>
      </c>
      <c r="G175" s="15">
        <v>0</v>
      </c>
      <c r="H175" s="14">
        <f t="shared" si="5"/>
        <v>81000</v>
      </c>
    </row>
    <row r="176" spans="1:8" x14ac:dyDescent="0.35">
      <c r="A176" s="19" t="s">
        <v>73</v>
      </c>
      <c r="B176" s="12">
        <v>10</v>
      </c>
      <c r="C176" s="22" t="s">
        <v>170</v>
      </c>
      <c r="D176" s="14">
        <v>7570</v>
      </c>
      <c r="E176" s="12">
        <v>1</v>
      </c>
      <c r="F176" s="22" t="s">
        <v>171</v>
      </c>
      <c r="G176" s="15">
        <v>0</v>
      </c>
      <c r="H176" s="14">
        <f t="shared" si="5"/>
        <v>75700</v>
      </c>
    </row>
    <row r="177" spans="4:8" x14ac:dyDescent="0.35">
      <c r="D177" s="17" t="s">
        <v>31</v>
      </c>
      <c r="E177" s="17"/>
      <c r="F177" s="17"/>
      <c r="G177" s="17"/>
      <c r="H177" s="18">
        <f>SUM(H165:H176)</f>
        <v>360653</v>
      </c>
    </row>
    <row r="178" spans="4:8" x14ac:dyDescent="0.35">
      <c r="D178" s="12" t="s">
        <v>32</v>
      </c>
      <c r="E178" s="12"/>
      <c r="F178" s="12"/>
      <c r="G178" s="12"/>
      <c r="H178" s="14">
        <f>H177*0.15</f>
        <v>54097.95</v>
      </c>
    </row>
    <row r="179" spans="4:8" x14ac:dyDescent="0.35">
      <c r="D179" s="12" t="s">
        <v>12</v>
      </c>
      <c r="E179" s="12"/>
      <c r="F179" s="12"/>
      <c r="G179" s="12"/>
      <c r="H179" s="14">
        <f>H177+H178</f>
        <v>414750.95</v>
      </c>
    </row>
    <row r="180" spans="4:8" x14ac:dyDescent="0.35">
      <c r="D180" s="12" t="s">
        <v>33</v>
      </c>
      <c r="E180" s="12"/>
      <c r="F180" s="12"/>
      <c r="G180" s="12"/>
      <c r="H180" s="14">
        <f>H179/H161</f>
        <v>41475.095000000001</v>
      </c>
    </row>
    <row r="181" spans="4:8" x14ac:dyDescent="0.35">
      <c r="D181" s="12" t="s">
        <v>34</v>
      </c>
      <c r="E181" s="12"/>
      <c r="F181" s="12"/>
      <c r="G181" s="12"/>
      <c r="H181" s="16">
        <v>105000</v>
      </c>
    </row>
    <row r="182" spans="4:8" x14ac:dyDescent="0.35">
      <c r="D182" s="12" t="s">
        <v>35</v>
      </c>
      <c r="E182" s="12"/>
      <c r="F182" s="12"/>
      <c r="G182" s="12"/>
      <c r="H182" s="15">
        <f>H180/H181</f>
        <v>0.39500090476190475</v>
      </c>
    </row>
    <row r="183" spans="4:8" x14ac:dyDescent="0.35">
      <c r="D183" s="12" t="s">
        <v>36</v>
      </c>
      <c r="E183" s="12"/>
      <c r="F183" s="12"/>
      <c r="G183" s="12"/>
      <c r="H183" s="14">
        <f>H181-H180</f>
        <v>63524.904999999999</v>
      </c>
    </row>
  </sheetData>
  <mergeCells count="66">
    <mergeCell ref="H163:H164"/>
    <mergeCell ref="A153:G153"/>
    <mergeCell ref="B161:G161"/>
    <mergeCell ref="A162:A164"/>
    <mergeCell ref="B162:G162"/>
    <mergeCell ref="B163:B164"/>
    <mergeCell ref="C163:C164"/>
    <mergeCell ref="D163:D164"/>
    <mergeCell ref="E163:E164"/>
    <mergeCell ref="F163:F164"/>
    <mergeCell ref="G163:G164"/>
    <mergeCell ref="H99:H100"/>
    <mergeCell ref="A125:G125"/>
    <mergeCell ref="B133:G133"/>
    <mergeCell ref="A134:A136"/>
    <mergeCell ref="B134:G134"/>
    <mergeCell ref="B135:B136"/>
    <mergeCell ref="C135:C136"/>
    <mergeCell ref="D135:D136"/>
    <mergeCell ref="E135:E136"/>
    <mergeCell ref="F135:F136"/>
    <mergeCell ref="G135:G136"/>
    <mergeCell ref="H135:H136"/>
    <mergeCell ref="A89:G89"/>
    <mergeCell ref="B97:G97"/>
    <mergeCell ref="A98:A100"/>
    <mergeCell ref="B98:G98"/>
    <mergeCell ref="B99:B100"/>
    <mergeCell ref="C99:C100"/>
    <mergeCell ref="D99:D100"/>
    <mergeCell ref="E99:E100"/>
    <mergeCell ref="F99:F100"/>
    <mergeCell ref="G99:G100"/>
    <mergeCell ref="H37:H38"/>
    <mergeCell ref="A55:G55"/>
    <mergeCell ref="B63:G63"/>
    <mergeCell ref="A64:A66"/>
    <mergeCell ref="B64:G64"/>
    <mergeCell ref="B65:B66"/>
    <mergeCell ref="C65:C66"/>
    <mergeCell ref="D65:D66"/>
    <mergeCell ref="E65:E66"/>
    <mergeCell ref="F65:F66"/>
    <mergeCell ref="G65:G66"/>
    <mergeCell ref="H65:H66"/>
    <mergeCell ref="A27:G27"/>
    <mergeCell ref="B35:G35"/>
    <mergeCell ref="A36:A38"/>
    <mergeCell ref="B36:G36"/>
    <mergeCell ref="B37:B38"/>
    <mergeCell ref="C37:C38"/>
    <mergeCell ref="D37:D38"/>
    <mergeCell ref="E37:E38"/>
    <mergeCell ref="F37:F38"/>
    <mergeCell ref="G37:G38"/>
    <mergeCell ref="H11:H12"/>
    <mergeCell ref="A1:G1"/>
    <mergeCell ref="B9:G9"/>
    <mergeCell ref="A10:A12"/>
    <mergeCell ref="B10:G10"/>
    <mergeCell ref="B11:B12"/>
    <mergeCell ref="C11:C12"/>
    <mergeCell ref="D11:D12"/>
    <mergeCell ref="E11:E12"/>
    <mergeCell ref="F11:F12"/>
    <mergeCell ref="G11:G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E452-607E-4A0A-A0A4-6F2E208A0FFB}">
  <dimension ref="A1:H28"/>
  <sheetViews>
    <sheetView topLeftCell="A7" workbookViewId="0">
      <selection activeCell="D15" sqref="D15"/>
    </sheetView>
  </sheetViews>
  <sheetFormatPr defaultRowHeight="14.5" x14ac:dyDescent="0.35"/>
  <cols>
    <col min="1" max="8" width="19" customWidth="1"/>
  </cols>
  <sheetData>
    <row r="1" spans="1:8" ht="21.5" thickBot="1" x14ac:dyDescent="0.55000000000000004">
      <c r="A1" s="27" t="s">
        <v>0</v>
      </c>
      <c r="B1" s="28"/>
      <c r="C1" s="28"/>
      <c r="D1" s="28"/>
      <c r="E1" s="28"/>
      <c r="F1" s="28"/>
      <c r="G1" s="28"/>
    </row>
    <row r="2" spans="1:8" x14ac:dyDescent="0.35">
      <c r="A2" s="1"/>
      <c r="B2" s="2"/>
      <c r="C2" s="2"/>
      <c r="D2" s="2"/>
      <c r="E2" s="2"/>
      <c r="F2" s="2"/>
      <c r="G2" s="2"/>
      <c r="H2" s="3"/>
    </row>
    <row r="3" spans="1:8" x14ac:dyDescent="0.35">
      <c r="A3" s="4" t="s">
        <v>1</v>
      </c>
      <c r="B3" t="s">
        <v>2</v>
      </c>
      <c r="H3" s="5"/>
    </row>
    <row r="4" spans="1:8" x14ac:dyDescent="0.35">
      <c r="A4" s="4" t="s">
        <v>3</v>
      </c>
      <c r="B4" t="s">
        <v>4</v>
      </c>
      <c r="H4" s="5"/>
    </row>
    <row r="5" spans="1:8" x14ac:dyDescent="0.35">
      <c r="A5" s="4" t="s">
        <v>5</v>
      </c>
      <c r="B5" t="s">
        <v>96</v>
      </c>
      <c r="H5" s="5"/>
    </row>
    <row r="6" spans="1:8" x14ac:dyDescent="0.35">
      <c r="A6" s="4" t="s">
        <v>6</v>
      </c>
      <c r="B6" s="25">
        <v>46208</v>
      </c>
      <c r="H6" s="5"/>
    </row>
    <row r="7" spans="1:8" ht="15" thickBot="1" x14ac:dyDescent="0.4">
      <c r="A7" s="6" t="s">
        <v>7</v>
      </c>
      <c r="B7" s="7"/>
      <c r="C7" s="7"/>
      <c r="D7" s="7"/>
      <c r="E7" s="7"/>
      <c r="F7" s="7"/>
      <c r="G7" s="7"/>
      <c r="H7" s="8"/>
    </row>
    <row r="8" spans="1:8" ht="15" thickBot="1" x14ac:dyDescent="0.4">
      <c r="A8" s="1"/>
      <c r="B8" s="2"/>
      <c r="C8" s="2"/>
      <c r="D8" s="2"/>
      <c r="E8" s="2"/>
      <c r="F8" s="2"/>
      <c r="G8" s="2"/>
      <c r="H8" s="3"/>
    </row>
    <row r="9" spans="1:8" ht="16" thickBot="1" x14ac:dyDescent="0.4">
      <c r="A9" s="9" t="s">
        <v>8</v>
      </c>
      <c r="B9" s="29" t="s">
        <v>9</v>
      </c>
      <c r="C9" s="29"/>
      <c r="D9" s="29"/>
      <c r="E9" s="29"/>
      <c r="F9" s="29"/>
      <c r="G9" s="29"/>
      <c r="H9" s="10">
        <v>32</v>
      </c>
    </row>
    <row r="10" spans="1:8" ht="15.5" x14ac:dyDescent="0.35">
      <c r="A10" s="30" t="s">
        <v>10</v>
      </c>
      <c r="B10" s="32" t="s">
        <v>11</v>
      </c>
      <c r="C10" s="32"/>
      <c r="D10" s="32"/>
      <c r="E10" s="32"/>
      <c r="F10" s="32"/>
      <c r="G10" s="32"/>
      <c r="H10" s="11" t="s">
        <v>12</v>
      </c>
    </row>
    <row r="11" spans="1:8" x14ac:dyDescent="0.35">
      <c r="A11" s="31"/>
      <c r="B11" s="33" t="s">
        <v>13</v>
      </c>
      <c r="C11" s="33" t="s">
        <v>14</v>
      </c>
      <c r="D11" s="33" t="s">
        <v>15</v>
      </c>
      <c r="E11" s="33" t="s">
        <v>16</v>
      </c>
      <c r="F11" s="33" t="s">
        <v>17</v>
      </c>
      <c r="G11" s="33" t="s">
        <v>18</v>
      </c>
      <c r="H11" s="26" t="s">
        <v>19</v>
      </c>
    </row>
    <row r="12" spans="1:8" x14ac:dyDescent="0.35">
      <c r="A12" s="31"/>
      <c r="B12" s="33"/>
      <c r="C12" s="33"/>
      <c r="D12" s="33"/>
      <c r="E12" s="33"/>
      <c r="F12" s="33"/>
      <c r="G12" s="33"/>
      <c r="H12" s="26"/>
    </row>
    <row r="13" spans="1:8" x14ac:dyDescent="0.35">
      <c r="A13" s="12" t="s">
        <v>97</v>
      </c>
      <c r="B13" s="12">
        <v>800</v>
      </c>
      <c r="C13" s="13" t="s">
        <v>20</v>
      </c>
      <c r="D13" s="14">
        <v>28080</v>
      </c>
      <c r="E13" s="12">
        <v>1000</v>
      </c>
      <c r="F13" s="13" t="s">
        <v>20</v>
      </c>
      <c r="G13" s="15">
        <v>0</v>
      </c>
      <c r="H13" s="14">
        <f>IF(B13&gt;0,(D13+(D13*G13))*B13/E13,0)</f>
        <v>22464</v>
      </c>
    </row>
    <row r="14" spans="1:8" x14ac:dyDescent="0.35">
      <c r="A14" s="19" t="s">
        <v>98</v>
      </c>
      <c r="B14" s="12">
        <v>200</v>
      </c>
      <c r="C14" s="13" t="s">
        <v>20</v>
      </c>
      <c r="D14" s="14">
        <v>19440</v>
      </c>
      <c r="E14" s="12">
        <v>1000</v>
      </c>
      <c r="F14" s="13" t="s">
        <v>20</v>
      </c>
      <c r="G14" s="15">
        <v>0</v>
      </c>
      <c r="H14" s="14">
        <f t="shared" ref="H14:H21" si="0">IF(B14&gt;0,(D14+(D14*G14))*B14/E14,0)</f>
        <v>3888</v>
      </c>
    </row>
    <row r="15" spans="1:8" x14ac:dyDescent="0.35">
      <c r="A15" s="19" t="s">
        <v>99</v>
      </c>
      <c r="B15" s="12">
        <v>20</v>
      </c>
      <c r="C15" s="13" t="s">
        <v>20</v>
      </c>
      <c r="D15" s="14">
        <v>70000</v>
      </c>
      <c r="E15" s="12">
        <v>500</v>
      </c>
      <c r="F15" s="13" t="s">
        <v>20</v>
      </c>
      <c r="G15" s="15">
        <v>0</v>
      </c>
      <c r="H15" s="14">
        <f t="shared" si="0"/>
        <v>2800</v>
      </c>
    </row>
    <row r="16" spans="1:8" x14ac:dyDescent="0.35">
      <c r="A16" s="19" t="s">
        <v>100</v>
      </c>
      <c r="B16" s="12">
        <v>10</v>
      </c>
      <c r="C16" s="13" t="s">
        <v>20</v>
      </c>
      <c r="D16" s="14">
        <v>65000</v>
      </c>
      <c r="E16" s="12">
        <v>500</v>
      </c>
      <c r="F16" s="13" t="s">
        <v>20</v>
      </c>
      <c r="G16" s="15">
        <v>0</v>
      </c>
      <c r="H16" s="14">
        <f t="shared" si="0"/>
        <v>1300</v>
      </c>
    </row>
    <row r="17" spans="1:8" x14ac:dyDescent="0.35">
      <c r="A17" s="19" t="s">
        <v>48</v>
      </c>
      <c r="B17" s="12">
        <v>100</v>
      </c>
      <c r="C17" s="13" t="s">
        <v>20</v>
      </c>
      <c r="D17" s="14">
        <v>35000</v>
      </c>
      <c r="E17" s="12">
        <v>1000</v>
      </c>
      <c r="F17" s="13" t="s">
        <v>20</v>
      </c>
      <c r="G17" s="15">
        <v>0</v>
      </c>
      <c r="H17" s="14">
        <f t="shared" si="0"/>
        <v>3500</v>
      </c>
    </row>
    <row r="18" spans="1:8" x14ac:dyDescent="0.35">
      <c r="A18" s="19" t="s">
        <v>101</v>
      </c>
      <c r="B18" s="12">
        <v>10</v>
      </c>
      <c r="C18" s="13" t="s">
        <v>20</v>
      </c>
      <c r="D18" s="14">
        <v>152187</v>
      </c>
      <c r="E18" s="12">
        <v>1000</v>
      </c>
      <c r="F18" s="13" t="s">
        <v>20</v>
      </c>
      <c r="G18" s="15">
        <v>0</v>
      </c>
      <c r="H18" s="14">
        <f t="shared" si="0"/>
        <v>1521.87</v>
      </c>
    </row>
    <row r="19" spans="1:8" x14ac:dyDescent="0.35">
      <c r="A19" s="19" t="s">
        <v>102</v>
      </c>
      <c r="B19" s="12">
        <v>30</v>
      </c>
      <c r="C19" s="13" t="s">
        <v>20</v>
      </c>
      <c r="D19" s="14">
        <v>32400</v>
      </c>
      <c r="E19" s="12">
        <v>1000</v>
      </c>
      <c r="F19" s="13" t="s">
        <v>20</v>
      </c>
      <c r="G19" s="15">
        <v>0</v>
      </c>
      <c r="H19" s="14">
        <f t="shared" si="0"/>
        <v>972</v>
      </c>
    </row>
    <row r="20" spans="1:8" x14ac:dyDescent="0.35">
      <c r="A20" s="19" t="s">
        <v>29</v>
      </c>
      <c r="B20" s="12">
        <v>20</v>
      </c>
      <c r="C20" s="13" t="s">
        <v>20</v>
      </c>
      <c r="D20" s="14">
        <v>9000</v>
      </c>
      <c r="E20" s="12">
        <v>1000</v>
      </c>
      <c r="F20" s="13" t="s">
        <v>20</v>
      </c>
      <c r="G20" s="15">
        <v>0</v>
      </c>
      <c r="H20" s="14">
        <f t="shared" si="0"/>
        <v>180</v>
      </c>
    </row>
    <row r="21" spans="1:8" x14ac:dyDescent="0.35">
      <c r="A21" s="19" t="s">
        <v>172</v>
      </c>
      <c r="B21" s="19">
        <v>150</v>
      </c>
      <c r="C21" s="22" t="s">
        <v>20</v>
      </c>
      <c r="D21" s="14">
        <v>174960</v>
      </c>
      <c r="E21" s="12">
        <v>1000</v>
      </c>
      <c r="F21" s="13" t="s">
        <v>20</v>
      </c>
      <c r="G21" s="15">
        <v>0</v>
      </c>
      <c r="H21" s="14">
        <f t="shared" si="0"/>
        <v>26244</v>
      </c>
    </row>
    <row r="22" spans="1:8" x14ac:dyDescent="0.35">
      <c r="D22" s="17" t="s">
        <v>31</v>
      </c>
      <c r="E22" s="17"/>
      <c r="F22" s="17"/>
      <c r="G22" s="17"/>
      <c r="H22" s="18">
        <f>SUM(H13:H21)</f>
        <v>62869.87</v>
      </c>
    </row>
    <row r="23" spans="1:8" x14ac:dyDescent="0.35">
      <c r="D23" s="12" t="s">
        <v>32</v>
      </c>
      <c r="E23" s="12"/>
      <c r="F23" s="12"/>
      <c r="G23" s="12"/>
      <c r="H23" s="14">
        <f>H22*0.15</f>
        <v>9430.4804999999997</v>
      </c>
    </row>
    <row r="24" spans="1:8" x14ac:dyDescent="0.35">
      <c r="D24" s="12" t="s">
        <v>12</v>
      </c>
      <c r="E24" s="12"/>
      <c r="F24" s="12"/>
      <c r="G24" s="12"/>
      <c r="H24" s="14">
        <f>H22+H23</f>
        <v>72300.3505</v>
      </c>
    </row>
    <row r="25" spans="1:8" x14ac:dyDescent="0.35">
      <c r="D25" s="12" t="s">
        <v>33</v>
      </c>
      <c r="E25" s="12"/>
      <c r="F25" s="12"/>
      <c r="G25" s="12"/>
      <c r="H25" s="14">
        <f>H24/H9</f>
        <v>2259.385953125</v>
      </c>
    </row>
    <row r="26" spans="1:8" x14ac:dyDescent="0.35">
      <c r="D26" s="12" t="s">
        <v>34</v>
      </c>
      <c r="E26" s="12"/>
      <c r="F26" s="12"/>
      <c r="G26" s="12"/>
      <c r="H26" s="16">
        <v>6000</v>
      </c>
    </row>
    <row r="27" spans="1:8" x14ac:dyDescent="0.35">
      <c r="D27" s="12" t="s">
        <v>35</v>
      </c>
      <c r="E27" s="12"/>
      <c r="F27" s="12"/>
      <c r="G27" s="12"/>
      <c r="H27" s="15">
        <f>H25/H26</f>
        <v>0.37656432552083335</v>
      </c>
    </row>
    <row r="28" spans="1:8" x14ac:dyDescent="0.35">
      <c r="D28" s="12" t="s">
        <v>36</v>
      </c>
      <c r="E28" s="12"/>
      <c r="F28" s="12"/>
      <c r="G28" s="12"/>
      <c r="H28" s="14">
        <f>H26-H25</f>
        <v>3740.614046875</v>
      </c>
    </row>
  </sheetData>
  <mergeCells count="11">
    <mergeCell ref="H11:H12"/>
    <mergeCell ref="A1:G1"/>
    <mergeCell ref="B9:G9"/>
    <mergeCell ref="A10:A12"/>
    <mergeCell ref="B10:G10"/>
    <mergeCell ref="B11:B12"/>
    <mergeCell ref="C11:C12"/>
    <mergeCell ref="D11:D12"/>
    <mergeCell ref="E11:E12"/>
    <mergeCell ref="F11:F12"/>
    <mergeCell ref="G11:G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73957-77A2-4BFA-83C6-3B41F2EBC102}">
  <dimension ref="A1:H79"/>
  <sheetViews>
    <sheetView topLeftCell="A55" workbookViewId="0">
      <selection activeCell="H78" sqref="H78"/>
    </sheetView>
  </sheetViews>
  <sheetFormatPr defaultRowHeight="14.5" x14ac:dyDescent="0.35"/>
  <cols>
    <col min="1" max="8" width="17.36328125" customWidth="1"/>
  </cols>
  <sheetData>
    <row r="1" spans="1:8" ht="21.5" thickBot="1" x14ac:dyDescent="0.55000000000000004">
      <c r="A1" s="27" t="s">
        <v>0</v>
      </c>
      <c r="B1" s="28"/>
      <c r="C1" s="28"/>
      <c r="D1" s="28"/>
      <c r="E1" s="28"/>
      <c r="F1" s="28"/>
      <c r="G1" s="28"/>
    </row>
    <row r="2" spans="1:8" x14ac:dyDescent="0.35">
      <c r="A2" s="1"/>
      <c r="B2" s="2"/>
      <c r="C2" s="2"/>
      <c r="D2" s="2"/>
      <c r="E2" s="2"/>
      <c r="F2" s="2"/>
      <c r="G2" s="2"/>
      <c r="H2" s="3"/>
    </row>
    <row r="3" spans="1:8" x14ac:dyDescent="0.35">
      <c r="A3" s="4" t="s">
        <v>1</v>
      </c>
      <c r="B3" t="s">
        <v>2</v>
      </c>
      <c r="H3" s="5"/>
    </row>
    <row r="4" spans="1:8" x14ac:dyDescent="0.35">
      <c r="A4" s="4" t="s">
        <v>3</v>
      </c>
      <c r="B4" t="s">
        <v>4</v>
      </c>
      <c r="H4" s="5"/>
    </row>
    <row r="5" spans="1:8" x14ac:dyDescent="0.35">
      <c r="A5" s="4" t="s">
        <v>5</v>
      </c>
      <c r="B5" t="s">
        <v>131</v>
      </c>
      <c r="H5" s="5"/>
    </row>
    <row r="6" spans="1:8" x14ac:dyDescent="0.35">
      <c r="A6" s="4" t="s">
        <v>6</v>
      </c>
      <c r="B6" s="25">
        <v>46208</v>
      </c>
      <c r="H6" s="5"/>
    </row>
    <row r="7" spans="1:8" ht="15" thickBot="1" x14ac:dyDescent="0.4">
      <c r="A7" s="6" t="s">
        <v>7</v>
      </c>
      <c r="B7" s="7"/>
      <c r="C7" s="7"/>
      <c r="D7" s="7"/>
      <c r="E7" s="7"/>
      <c r="F7" s="7"/>
      <c r="G7" s="7"/>
      <c r="H7" s="8"/>
    </row>
    <row r="8" spans="1:8" ht="15" thickBot="1" x14ac:dyDescent="0.4">
      <c r="A8" s="1"/>
      <c r="B8" s="2"/>
      <c r="C8" s="2"/>
      <c r="D8" s="2"/>
      <c r="E8" s="2"/>
      <c r="F8" s="2"/>
      <c r="G8" s="2"/>
      <c r="H8" s="3"/>
    </row>
    <row r="9" spans="1:8" ht="16" thickBot="1" x14ac:dyDescent="0.4">
      <c r="A9" s="9" t="s">
        <v>8</v>
      </c>
      <c r="B9" s="29" t="s">
        <v>9</v>
      </c>
      <c r="C9" s="29"/>
      <c r="D9" s="29"/>
      <c r="E9" s="29"/>
      <c r="F9" s="29"/>
      <c r="G9" s="29"/>
      <c r="H9" s="10">
        <v>10</v>
      </c>
    </row>
    <row r="10" spans="1:8" ht="15.5" x14ac:dyDescent="0.35">
      <c r="A10" s="30" t="s">
        <v>10</v>
      </c>
      <c r="B10" s="32" t="s">
        <v>11</v>
      </c>
      <c r="C10" s="32"/>
      <c r="D10" s="32"/>
      <c r="E10" s="32"/>
      <c r="F10" s="32"/>
      <c r="G10" s="32"/>
      <c r="H10" s="11" t="s">
        <v>12</v>
      </c>
    </row>
    <row r="11" spans="1:8" x14ac:dyDescent="0.35">
      <c r="A11" s="31"/>
      <c r="B11" s="33" t="s">
        <v>13</v>
      </c>
      <c r="C11" s="33" t="s">
        <v>14</v>
      </c>
      <c r="D11" s="33" t="s">
        <v>15</v>
      </c>
      <c r="E11" s="33" t="s">
        <v>16</v>
      </c>
      <c r="F11" s="33" t="s">
        <v>17</v>
      </c>
      <c r="G11" s="33" t="s">
        <v>18</v>
      </c>
      <c r="H11" s="26" t="s">
        <v>19</v>
      </c>
    </row>
    <row r="12" spans="1:8" x14ac:dyDescent="0.35">
      <c r="A12" s="31"/>
      <c r="B12" s="33"/>
      <c r="C12" s="33"/>
      <c r="D12" s="33"/>
      <c r="E12" s="33"/>
      <c r="F12" s="33"/>
      <c r="G12" s="33"/>
      <c r="H12" s="26"/>
    </row>
    <row r="13" spans="1:8" x14ac:dyDescent="0.35">
      <c r="A13" s="12" t="s">
        <v>94</v>
      </c>
      <c r="B13" s="12">
        <v>12</v>
      </c>
      <c r="C13" s="13" t="s">
        <v>24</v>
      </c>
      <c r="D13" s="14">
        <v>69000</v>
      </c>
      <c r="E13" s="12">
        <v>30</v>
      </c>
      <c r="F13" s="13" t="s">
        <v>24</v>
      </c>
      <c r="G13" s="15">
        <v>0</v>
      </c>
      <c r="H13" s="14">
        <f>IF(B13&gt;0,(D13+(D13*G13))*B13/E13,0)</f>
        <v>27600</v>
      </c>
    </row>
    <row r="14" spans="1:8" x14ac:dyDescent="0.35">
      <c r="A14" s="19" t="s">
        <v>50</v>
      </c>
      <c r="B14" s="12">
        <v>168</v>
      </c>
      <c r="C14" s="13" t="s">
        <v>20</v>
      </c>
      <c r="D14" s="14">
        <v>1100000</v>
      </c>
      <c r="E14" s="12">
        <v>5000</v>
      </c>
      <c r="F14" s="13" t="s">
        <v>20</v>
      </c>
      <c r="G14" s="15">
        <v>0</v>
      </c>
      <c r="H14" s="14">
        <f t="shared" ref="H14:H17" si="0">IF(B14&gt;0,(D14+(D14*G14))*B14/E14,0)</f>
        <v>36960</v>
      </c>
    </row>
    <row r="15" spans="1:8" x14ac:dyDescent="0.35">
      <c r="A15" s="19" t="s">
        <v>85</v>
      </c>
      <c r="B15" s="12">
        <v>300</v>
      </c>
      <c r="C15" s="13" t="s">
        <v>20</v>
      </c>
      <c r="D15" s="14">
        <v>18900</v>
      </c>
      <c r="E15" s="12">
        <v>1000</v>
      </c>
      <c r="F15" s="13" t="s">
        <v>20</v>
      </c>
      <c r="G15" s="15">
        <v>0</v>
      </c>
      <c r="H15" s="14">
        <f t="shared" si="0"/>
        <v>5670</v>
      </c>
    </row>
    <row r="16" spans="1:8" x14ac:dyDescent="0.35">
      <c r="A16" s="19" t="s">
        <v>132</v>
      </c>
      <c r="B16" s="12">
        <v>300</v>
      </c>
      <c r="C16" s="13" t="s">
        <v>20</v>
      </c>
      <c r="D16" s="14">
        <v>21600</v>
      </c>
      <c r="E16" s="12">
        <v>1000</v>
      </c>
      <c r="F16" s="13" t="s">
        <v>20</v>
      </c>
      <c r="G16" s="15">
        <v>0</v>
      </c>
      <c r="H16" s="14">
        <f t="shared" si="0"/>
        <v>6480</v>
      </c>
    </row>
    <row r="17" spans="1:8" x14ac:dyDescent="0.35">
      <c r="A17" s="19" t="s">
        <v>133</v>
      </c>
      <c r="B17" s="12">
        <v>40</v>
      </c>
      <c r="C17" s="13" t="s">
        <v>20</v>
      </c>
      <c r="D17" s="14">
        <v>25347</v>
      </c>
      <c r="E17" s="12">
        <v>1000</v>
      </c>
      <c r="F17" s="13" t="s">
        <v>20</v>
      </c>
      <c r="G17" s="15">
        <v>0</v>
      </c>
      <c r="H17" s="14">
        <f t="shared" si="0"/>
        <v>1013.88</v>
      </c>
    </row>
    <row r="18" spans="1:8" x14ac:dyDescent="0.35">
      <c r="D18" s="12" t="s">
        <v>31</v>
      </c>
      <c r="E18" s="12"/>
      <c r="F18" s="12"/>
      <c r="G18" s="12"/>
      <c r="H18" s="14">
        <f>SUM(H13:H17)</f>
        <v>77723.88</v>
      </c>
    </row>
    <row r="19" spans="1:8" x14ac:dyDescent="0.35">
      <c r="D19" s="12" t="s">
        <v>32</v>
      </c>
      <c r="E19" s="12"/>
      <c r="F19" s="12"/>
      <c r="G19" s="12"/>
      <c r="H19" s="14">
        <f>H18*0.15</f>
        <v>11658.582</v>
      </c>
    </row>
    <row r="20" spans="1:8" x14ac:dyDescent="0.35">
      <c r="D20" s="12" t="s">
        <v>12</v>
      </c>
      <c r="E20" s="12"/>
      <c r="F20" s="12"/>
      <c r="G20" s="12"/>
      <c r="H20" s="14">
        <f>H18+H19</f>
        <v>89382.462</v>
      </c>
    </row>
    <row r="21" spans="1:8" x14ac:dyDescent="0.35">
      <c r="D21" s="12" t="s">
        <v>33</v>
      </c>
      <c r="E21" s="12"/>
      <c r="F21" s="12"/>
      <c r="G21" s="12"/>
      <c r="H21" s="14">
        <f>H20/H9</f>
        <v>8938.2461999999996</v>
      </c>
    </row>
    <row r="22" spans="1:8" x14ac:dyDescent="0.35">
      <c r="D22" s="12" t="s">
        <v>34</v>
      </c>
      <c r="E22" s="12"/>
      <c r="F22" s="12"/>
      <c r="G22" s="12"/>
      <c r="H22" s="21">
        <v>8938</v>
      </c>
    </row>
    <row r="23" spans="1:8" x14ac:dyDescent="0.35">
      <c r="D23" s="12" t="s">
        <v>35</v>
      </c>
      <c r="E23" s="12"/>
      <c r="F23" s="12"/>
      <c r="G23" s="12"/>
      <c r="H23" s="15">
        <f>H21/H22</f>
        <v>1.0000275453121503</v>
      </c>
    </row>
    <row r="24" spans="1:8" x14ac:dyDescent="0.35">
      <c r="D24" s="12" t="s">
        <v>36</v>
      </c>
      <c r="E24" s="12"/>
      <c r="F24" s="12"/>
      <c r="G24" s="12"/>
      <c r="H24" s="14">
        <f>H22-H21</f>
        <v>-0.24619999999958964</v>
      </c>
    </row>
    <row r="26" spans="1:8" ht="21.5" thickBot="1" x14ac:dyDescent="0.55000000000000004">
      <c r="A26" s="27" t="s">
        <v>0</v>
      </c>
      <c r="B26" s="28"/>
      <c r="C26" s="28"/>
      <c r="D26" s="28"/>
      <c r="E26" s="28"/>
      <c r="F26" s="28"/>
      <c r="G26" s="28"/>
    </row>
    <row r="27" spans="1:8" x14ac:dyDescent="0.35">
      <c r="A27" s="1"/>
      <c r="B27" s="2"/>
      <c r="C27" s="2"/>
      <c r="D27" s="2"/>
      <c r="E27" s="2"/>
      <c r="F27" s="2"/>
      <c r="G27" s="2"/>
      <c r="H27" s="3"/>
    </row>
    <row r="28" spans="1:8" x14ac:dyDescent="0.35">
      <c r="A28" s="4" t="s">
        <v>1</v>
      </c>
      <c r="B28" t="s">
        <v>2</v>
      </c>
      <c r="H28" s="5"/>
    </row>
    <row r="29" spans="1:8" x14ac:dyDescent="0.35">
      <c r="A29" s="4" t="s">
        <v>3</v>
      </c>
      <c r="B29" t="s">
        <v>4</v>
      </c>
      <c r="H29" s="5"/>
    </row>
    <row r="30" spans="1:8" x14ac:dyDescent="0.35">
      <c r="A30" s="4" t="s">
        <v>5</v>
      </c>
      <c r="B30" t="s">
        <v>138</v>
      </c>
      <c r="H30" s="5"/>
    </row>
    <row r="31" spans="1:8" x14ac:dyDescent="0.35">
      <c r="A31" s="4" t="s">
        <v>6</v>
      </c>
      <c r="B31" s="25">
        <v>46208</v>
      </c>
      <c r="H31" s="5"/>
    </row>
    <row r="32" spans="1:8" ht="15" thickBot="1" x14ac:dyDescent="0.4">
      <c r="A32" s="6" t="s">
        <v>7</v>
      </c>
      <c r="B32" s="7"/>
      <c r="C32" s="7"/>
      <c r="D32" s="7"/>
      <c r="E32" s="7"/>
      <c r="F32" s="7"/>
      <c r="G32" s="7"/>
      <c r="H32" s="8"/>
    </row>
    <row r="33" spans="1:8" ht="15" thickBot="1" x14ac:dyDescent="0.4">
      <c r="A33" s="1"/>
      <c r="B33" s="2"/>
      <c r="C33" s="2"/>
      <c r="D33" s="2"/>
      <c r="E33" s="2"/>
      <c r="F33" s="2"/>
      <c r="G33" s="2"/>
      <c r="H33" s="3"/>
    </row>
    <row r="34" spans="1:8" ht="16" thickBot="1" x14ac:dyDescent="0.4">
      <c r="A34" s="9" t="s">
        <v>8</v>
      </c>
      <c r="B34" s="29" t="s">
        <v>9</v>
      </c>
      <c r="C34" s="29"/>
      <c r="D34" s="29"/>
      <c r="E34" s="29"/>
      <c r="F34" s="29"/>
      <c r="G34" s="29"/>
      <c r="H34" s="10">
        <v>250</v>
      </c>
    </row>
    <row r="35" spans="1:8" ht="15.5" customHeight="1" x14ac:dyDescent="0.35">
      <c r="A35" s="30" t="s">
        <v>10</v>
      </c>
      <c r="B35" s="32" t="s">
        <v>11</v>
      </c>
      <c r="C35" s="32"/>
      <c r="D35" s="32"/>
      <c r="E35" s="32"/>
      <c r="F35" s="32"/>
      <c r="G35" s="32"/>
      <c r="H35" s="11" t="s">
        <v>12</v>
      </c>
    </row>
    <row r="36" spans="1:8" ht="14.5" customHeight="1" x14ac:dyDescent="0.35">
      <c r="A36" s="31"/>
      <c r="B36" s="33" t="s">
        <v>13</v>
      </c>
      <c r="C36" s="33" t="s">
        <v>14</v>
      </c>
      <c r="D36" s="33" t="s">
        <v>15</v>
      </c>
      <c r="E36" s="33" t="s">
        <v>16</v>
      </c>
      <c r="F36" s="33" t="s">
        <v>17</v>
      </c>
      <c r="G36" s="33" t="s">
        <v>18</v>
      </c>
      <c r="H36" s="26" t="s">
        <v>19</v>
      </c>
    </row>
    <row r="37" spans="1:8" ht="14.5" customHeight="1" x14ac:dyDescent="0.35">
      <c r="A37" s="31"/>
      <c r="B37" s="33"/>
      <c r="C37" s="33"/>
      <c r="D37" s="33"/>
      <c r="E37" s="33"/>
      <c r="F37" s="33"/>
      <c r="G37" s="33"/>
      <c r="H37" s="26"/>
    </row>
    <row r="38" spans="1:8" x14ac:dyDescent="0.35">
      <c r="A38" s="12" t="s">
        <v>134</v>
      </c>
      <c r="B38" s="12">
        <v>100</v>
      </c>
      <c r="C38" s="13" t="s">
        <v>20</v>
      </c>
      <c r="D38" s="14">
        <v>99090</v>
      </c>
      <c r="E38" s="12">
        <v>1000</v>
      </c>
      <c r="F38" s="13" t="s">
        <v>20</v>
      </c>
      <c r="G38" s="15">
        <v>0</v>
      </c>
      <c r="H38" s="14">
        <f>IF(B38&gt;0,(D38+(D38*G38))*B38/E38,0)</f>
        <v>9909</v>
      </c>
    </row>
    <row r="39" spans="1:8" x14ac:dyDescent="0.35">
      <c r="A39" s="12" t="s">
        <v>135</v>
      </c>
      <c r="B39" s="12">
        <v>60</v>
      </c>
      <c r="C39" s="23" t="s">
        <v>26</v>
      </c>
      <c r="D39" s="14">
        <v>21200</v>
      </c>
      <c r="E39" s="12">
        <v>1000</v>
      </c>
      <c r="F39" s="23" t="s">
        <v>26</v>
      </c>
      <c r="G39" s="15">
        <v>0</v>
      </c>
      <c r="H39" s="14">
        <f t="shared" ref="H39:H42" si="1">IF(B39&gt;0,(D39+(D39*G39))*B39/E39,0)</f>
        <v>1272</v>
      </c>
    </row>
    <row r="40" spans="1:8" x14ac:dyDescent="0.35">
      <c r="A40" s="12" t="s">
        <v>136</v>
      </c>
      <c r="B40" s="12">
        <v>50</v>
      </c>
      <c r="C40" s="23" t="s">
        <v>26</v>
      </c>
      <c r="D40" s="14">
        <v>80000</v>
      </c>
      <c r="E40" s="12">
        <v>400</v>
      </c>
      <c r="F40" s="23" t="s">
        <v>26</v>
      </c>
      <c r="G40" s="15">
        <v>0</v>
      </c>
      <c r="H40" s="14">
        <f t="shared" si="1"/>
        <v>10000</v>
      </c>
    </row>
    <row r="41" spans="1:8" x14ac:dyDescent="0.35">
      <c r="A41" s="12" t="s">
        <v>50</v>
      </c>
      <c r="B41" s="12">
        <v>20</v>
      </c>
      <c r="C41" s="23" t="s">
        <v>20</v>
      </c>
      <c r="D41" s="14">
        <v>1100000</v>
      </c>
      <c r="E41" s="12">
        <v>5000</v>
      </c>
      <c r="F41" s="23" t="s">
        <v>20</v>
      </c>
      <c r="G41" s="15">
        <v>0</v>
      </c>
      <c r="H41" s="14">
        <f t="shared" si="1"/>
        <v>4400</v>
      </c>
    </row>
    <row r="42" spans="1:8" x14ac:dyDescent="0.35">
      <c r="A42" s="12" t="s">
        <v>137</v>
      </c>
      <c r="B42" s="12">
        <v>13</v>
      </c>
      <c r="C42" s="23" t="s">
        <v>26</v>
      </c>
      <c r="D42" s="14">
        <v>682500</v>
      </c>
      <c r="E42" s="12">
        <v>750</v>
      </c>
      <c r="F42" s="23" t="s">
        <v>26</v>
      </c>
      <c r="G42" s="15">
        <v>0</v>
      </c>
      <c r="H42" s="14">
        <f t="shared" si="1"/>
        <v>11830</v>
      </c>
    </row>
    <row r="43" spans="1:8" x14ac:dyDescent="0.35">
      <c r="D43" s="12" t="s">
        <v>31</v>
      </c>
      <c r="E43" s="12"/>
      <c r="F43" s="12"/>
      <c r="G43" s="12"/>
      <c r="H43" s="14">
        <f>SUM(H38:H42)</f>
        <v>37411</v>
      </c>
    </row>
    <row r="44" spans="1:8" x14ac:dyDescent="0.35">
      <c r="D44" s="12" t="s">
        <v>32</v>
      </c>
      <c r="E44" s="12"/>
      <c r="F44" s="12"/>
      <c r="G44" s="12"/>
      <c r="H44" s="14">
        <f>H43*0.15</f>
        <v>5611.65</v>
      </c>
    </row>
    <row r="45" spans="1:8" x14ac:dyDescent="0.35">
      <c r="D45" s="12" t="s">
        <v>12</v>
      </c>
      <c r="E45" s="12"/>
      <c r="F45" s="12"/>
      <c r="G45" s="12"/>
      <c r="H45" s="14">
        <f>H43+H44</f>
        <v>43022.65</v>
      </c>
    </row>
    <row r="46" spans="1:8" x14ac:dyDescent="0.35">
      <c r="D46" s="12" t="s">
        <v>33</v>
      </c>
      <c r="E46" s="12"/>
      <c r="F46" s="12"/>
      <c r="G46" s="12"/>
      <c r="H46" s="14">
        <f>H45/H34</f>
        <v>172.09059999999999</v>
      </c>
    </row>
    <row r="47" spans="1:8" x14ac:dyDescent="0.35">
      <c r="D47" s="12" t="s">
        <v>34</v>
      </c>
      <c r="E47" s="12"/>
      <c r="F47" s="12"/>
      <c r="G47" s="12"/>
      <c r="H47" s="24">
        <v>172</v>
      </c>
    </row>
    <row r="48" spans="1:8" x14ac:dyDescent="0.35">
      <c r="D48" s="12" t="s">
        <v>35</v>
      </c>
      <c r="E48" s="12"/>
      <c r="F48" s="12"/>
      <c r="G48" s="12"/>
      <c r="H48" s="15">
        <f>H46/H47</f>
        <v>1.0005267441860466</v>
      </c>
    </row>
    <row r="49" spans="1:8" x14ac:dyDescent="0.35">
      <c r="D49" s="12" t="s">
        <v>36</v>
      </c>
      <c r="E49" s="12"/>
      <c r="F49" s="12"/>
      <c r="G49" s="12"/>
      <c r="H49" s="14">
        <f>H47-H46</f>
        <v>-9.0599999999994907E-2</v>
      </c>
    </row>
    <row r="51" spans="1:8" ht="21.5" thickBot="1" x14ac:dyDescent="0.55000000000000004">
      <c r="A51" s="27" t="s">
        <v>0</v>
      </c>
      <c r="B51" s="28"/>
      <c r="C51" s="28"/>
      <c r="D51" s="28"/>
      <c r="E51" s="28"/>
      <c r="F51" s="28"/>
      <c r="G51" s="28"/>
    </row>
    <row r="52" spans="1:8" x14ac:dyDescent="0.35">
      <c r="A52" s="1"/>
      <c r="B52" s="2"/>
      <c r="C52" s="2"/>
      <c r="D52" s="2"/>
      <c r="E52" s="2"/>
      <c r="F52" s="2"/>
      <c r="G52" s="2"/>
      <c r="H52" s="3"/>
    </row>
    <row r="53" spans="1:8" x14ac:dyDescent="0.35">
      <c r="A53" s="4" t="s">
        <v>1</v>
      </c>
      <c r="B53" t="s">
        <v>2</v>
      </c>
      <c r="H53" s="5"/>
    </row>
    <row r="54" spans="1:8" x14ac:dyDescent="0.35">
      <c r="A54" s="4" t="s">
        <v>3</v>
      </c>
      <c r="B54" t="s">
        <v>4</v>
      </c>
      <c r="H54" s="5"/>
    </row>
    <row r="55" spans="1:8" x14ac:dyDescent="0.35">
      <c r="A55" s="4" t="s">
        <v>5</v>
      </c>
      <c r="B55" t="s">
        <v>139</v>
      </c>
      <c r="H55" s="5"/>
    </row>
    <row r="56" spans="1:8" x14ac:dyDescent="0.35">
      <c r="A56" s="4" t="s">
        <v>6</v>
      </c>
      <c r="B56" s="25">
        <v>46208</v>
      </c>
      <c r="H56" s="5"/>
    </row>
    <row r="57" spans="1:8" ht="15" thickBot="1" x14ac:dyDescent="0.4">
      <c r="A57" s="6" t="s">
        <v>7</v>
      </c>
      <c r="B57" s="7"/>
      <c r="C57" s="7"/>
      <c r="D57" s="7"/>
      <c r="E57" s="7"/>
      <c r="F57" s="7"/>
      <c r="G57" s="7"/>
      <c r="H57" s="8"/>
    </row>
    <row r="58" spans="1:8" ht="15" thickBot="1" x14ac:dyDescent="0.4">
      <c r="A58" s="1"/>
      <c r="B58" s="2"/>
      <c r="C58" s="2"/>
      <c r="D58" s="2"/>
      <c r="E58" s="2"/>
      <c r="F58" s="2"/>
      <c r="G58" s="2"/>
      <c r="H58" s="3"/>
    </row>
    <row r="59" spans="1:8" ht="16" thickBot="1" x14ac:dyDescent="0.4">
      <c r="A59" s="9" t="s">
        <v>8</v>
      </c>
      <c r="B59" s="29" t="s">
        <v>9</v>
      </c>
      <c r="C59" s="29"/>
      <c r="D59" s="29"/>
      <c r="E59" s="29"/>
      <c r="F59" s="29"/>
      <c r="G59" s="29"/>
      <c r="H59" s="10">
        <v>10</v>
      </c>
    </row>
    <row r="60" spans="1:8" ht="15.5" x14ac:dyDescent="0.35">
      <c r="A60" s="30" t="s">
        <v>10</v>
      </c>
      <c r="B60" s="32" t="s">
        <v>11</v>
      </c>
      <c r="C60" s="32"/>
      <c r="D60" s="32"/>
      <c r="E60" s="32"/>
      <c r="F60" s="32"/>
      <c r="G60" s="32"/>
      <c r="H60" s="11" t="s">
        <v>12</v>
      </c>
    </row>
    <row r="61" spans="1:8" x14ac:dyDescent="0.35">
      <c r="A61" s="31"/>
      <c r="B61" s="33" t="s">
        <v>13</v>
      </c>
      <c r="C61" s="33" t="s">
        <v>14</v>
      </c>
      <c r="D61" s="33" t="s">
        <v>15</v>
      </c>
      <c r="E61" s="33" t="s">
        <v>16</v>
      </c>
      <c r="F61" s="33" t="s">
        <v>17</v>
      </c>
      <c r="G61" s="33" t="s">
        <v>18</v>
      </c>
      <c r="H61" s="26" t="s">
        <v>19</v>
      </c>
    </row>
    <row r="62" spans="1:8" x14ac:dyDescent="0.35">
      <c r="A62" s="31"/>
      <c r="B62" s="33"/>
      <c r="C62" s="33"/>
      <c r="D62" s="33"/>
      <c r="E62" s="33"/>
      <c r="F62" s="33"/>
      <c r="G62" s="33"/>
      <c r="H62" s="26"/>
    </row>
    <row r="63" spans="1:8" x14ac:dyDescent="0.35">
      <c r="A63" s="12" t="s">
        <v>140</v>
      </c>
      <c r="B63" s="12">
        <v>10</v>
      </c>
      <c r="C63" s="13" t="s">
        <v>24</v>
      </c>
      <c r="D63" s="14">
        <v>8938</v>
      </c>
      <c r="E63" s="12">
        <v>1</v>
      </c>
      <c r="F63" s="13" t="s">
        <v>24</v>
      </c>
      <c r="G63" s="15">
        <v>0</v>
      </c>
      <c r="H63" s="14">
        <f>IF(B63&gt;0,(D63+(D63*G63))*B63/E63,0)</f>
        <v>89380</v>
      </c>
    </row>
    <row r="64" spans="1:8" x14ac:dyDescent="0.35">
      <c r="A64" s="19" t="s">
        <v>141</v>
      </c>
      <c r="B64" s="12">
        <v>250</v>
      </c>
      <c r="C64" s="13" t="s">
        <v>26</v>
      </c>
      <c r="D64" s="14">
        <v>18900</v>
      </c>
      <c r="E64" s="12">
        <v>1000</v>
      </c>
      <c r="F64" s="13" t="s">
        <v>26</v>
      </c>
      <c r="G64" s="15">
        <v>0</v>
      </c>
      <c r="H64" s="14">
        <f t="shared" ref="H64:H72" si="2">IF(B64&gt;0,(D64+(D64*G64))*B64/E64,0)</f>
        <v>4725</v>
      </c>
    </row>
    <row r="65" spans="1:8" x14ac:dyDescent="0.35">
      <c r="A65" s="19" t="s">
        <v>136</v>
      </c>
      <c r="B65" s="12">
        <v>500</v>
      </c>
      <c r="C65" s="13" t="s">
        <v>26</v>
      </c>
      <c r="D65" s="14">
        <v>80000</v>
      </c>
      <c r="E65" s="12">
        <v>400</v>
      </c>
      <c r="F65" s="13" t="s">
        <v>26</v>
      </c>
      <c r="G65" s="15">
        <v>0</v>
      </c>
      <c r="H65" s="14">
        <f t="shared" si="2"/>
        <v>100000</v>
      </c>
    </row>
    <row r="66" spans="1:8" x14ac:dyDescent="0.35">
      <c r="A66" s="19" t="s">
        <v>142</v>
      </c>
      <c r="B66" s="12">
        <v>250</v>
      </c>
      <c r="C66" s="13" t="s">
        <v>20</v>
      </c>
      <c r="D66" s="14">
        <v>99090</v>
      </c>
      <c r="E66" s="12">
        <v>1000</v>
      </c>
      <c r="F66" s="13" t="s">
        <v>20</v>
      </c>
      <c r="G66" s="15">
        <v>0</v>
      </c>
      <c r="H66" s="14">
        <f t="shared" si="2"/>
        <v>24772.5</v>
      </c>
    </row>
    <row r="67" spans="1:8" x14ac:dyDescent="0.35">
      <c r="A67" s="19" t="s">
        <v>143</v>
      </c>
      <c r="B67" s="12">
        <v>1</v>
      </c>
      <c r="C67" s="13" t="s">
        <v>147</v>
      </c>
      <c r="D67" s="14">
        <v>82941</v>
      </c>
      <c r="E67" s="12">
        <v>1</v>
      </c>
      <c r="F67" s="13" t="s">
        <v>147</v>
      </c>
      <c r="G67" s="15">
        <v>0</v>
      </c>
      <c r="H67" s="14">
        <f t="shared" si="2"/>
        <v>82941</v>
      </c>
    </row>
    <row r="68" spans="1:8" x14ac:dyDescent="0.35">
      <c r="A68" s="19" t="s">
        <v>144</v>
      </c>
      <c r="B68" s="12">
        <v>100</v>
      </c>
      <c r="C68" s="13" t="s">
        <v>26</v>
      </c>
      <c r="D68" s="14">
        <v>341250</v>
      </c>
      <c r="E68" s="12">
        <v>2000</v>
      </c>
      <c r="F68" s="13" t="s">
        <v>26</v>
      </c>
      <c r="G68" s="15">
        <v>0</v>
      </c>
      <c r="H68" s="14">
        <f t="shared" si="2"/>
        <v>17062.5</v>
      </c>
    </row>
    <row r="69" spans="1:8" x14ac:dyDescent="0.35">
      <c r="A69" s="19" t="s">
        <v>145</v>
      </c>
      <c r="B69" s="12">
        <v>5</v>
      </c>
      <c r="C69" s="13" t="s">
        <v>20</v>
      </c>
      <c r="D69" s="14">
        <v>32400</v>
      </c>
      <c r="E69" s="12">
        <v>1000</v>
      </c>
      <c r="F69" s="13" t="s">
        <v>20</v>
      </c>
      <c r="G69" s="15">
        <v>0</v>
      </c>
      <c r="H69" s="14">
        <f t="shared" si="2"/>
        <v>162</v>
      </c>
    </row>
    <row r="70" spans="1:8" x14ac:dyDescent="0.35">
      <c r="A70" s="19" t="s">
        <v>146</v>
      </c>
      <c r="B70" s="12">
        <v>30</v>
      </c>
      <c r="C70" s="13" t="s">
        <v>20</v>
      </c>
      <c r="D70" s="14">
        <v>43076.25</v>
      </c>
      <c r="E70" s="12">
        <v>300</v>
      </c>
      <c r="F70" s="13" t="s">
        <v>20</v>
      </c>
      <c r="G70" s="15">
        <v>0</v>
      </c>
      <c r="H70" s="14">
        <f t="shared" si="2"/>
        <v>4307.625</v>
      </c>
    </row>
    <row r="71" spans="1:8" x14ac:dyDescent="0.35">
      <c r="A71" s="19" t="s">
        <v>85</v>
      </c>
      <c r="B71" s="12">
        <v>50</v>
      </c>
      <c r="C71" s="13" t="s">
        <v>20</v>
      </c>
      <c r="D71" s="14">
        <v>18900</v>
      </c>
      <c r="E71" s="12">
        <v>1000</v>
      </c>
      <c r="F71" s="13" t="s">
        <v>20</v>
      </c>
      <c r="G71" s="15">
        <v>0</v>
      </c>
      <c r="H71" s="14">
        <f t="shared" si="2"/>
        <v>945</v>
      </c>
    </row>
    <row r="72" spans="1:8" x14ac:dyDescent="0.35">
      <c r="A72" s="19" t="s">
        <v>138</v>
      </c>
      <c r="B72" s="19">
        <v>150</v>
      </c>
      <c r="C72" s="13" t="s">
        <v>26</v>
      </c>
      <c r="D72" s="14">
        <v>172</v>
      </c>
      <c r="E72" s="12">
        <v>1</v>
      </c>
      <c r="F72" s="13" t="s">
        <v>26</v>
      </c>
      <c r="G72" s="15">
        <v>0</v>
      </c>
      <c r="H72" s="14">
        <f t="shared" si="2"/>
        <v>25800</v>
      </c>
    </row>
    <row r="73" spans="1:8" x14ac:dyDescent="0.35">
      <c r="D73" s="12" t="s">
        <v>31</v>
      </c>
      <c r="E73" s="12"/>
      <c r="F73" s="12"/>
      <c r="G73" s="12"/>
      <c r="H73" s="14">
        <f>SUM(H63:H72)</f>
        <v>350095.625</v>
      </c>
    </row>
    <row r="74" spans="1:8" x14ac:dyDescent="0.35">
      <c r="D74" s="12" t="s">
        <v>32</v>
      </c>
      <c r="E74" s="12"/>
      <c r="F74" s="12"/>
      <c r="G74" s="12"/>
      <c r="H74" s="14">
        <f>H73*0.15</f>
        <v>52514.34375</v>
      </c>
    </row>
    <row r="75" spans="1:8" x14ac:dyDescent="0.35">
      <c r="D75" s="12" t="s">
        <v>12</v>
      </c>
      <c r="E75" s="12"/>
      <c r="F75" s="12"/>
      <c r="G75" s="12"/>
      <c r="H75" s="14">
        <f>H73+H74</f>
        <v>402609.96875</v>
      </c>
    </row>
    <row r="76" spans="1:8" x14ac:dyDescent="0.35">
      <c r="D76" s="12" t="s">
        <v>33</v>
      </c>
      <c r="E76" s="12"/>
      <c r="F76" s="12"/>
      <c r="G76" s="12"/>
      <c r="H76" s="14">
        <f>H75/H59</f>
        <v>40260.996874999997</v>
      </c>
    </row>
    <row r="77" spans="1:8" x14ac:dyDescent="0.35">
      <c r="D77" s="12" t="s">
        <v>34</v>
      </c>
      <c r="E77" s="12"/>
      <c r="F77" s="12"/>
      <c r="G77" s="12"/>
      <c r="H77" s="24">
        <v>100000</v>
      </c>
    </row>
    <row r="78" spans="1:8" x14ac:dyDescent="0.35">
      <c r="D78" s="12" t="s">
        <v>35</v>
      </c>
      <c r="E78" s="12"/>
      <c r="F78" s="12"/>
      <c r="G78" s="12"/>
      <c r="H78" s="15">
        <f>H76/H77</f>
        <v>0.40260996874999999</v>
      </c>
    </row>
    <row r="79" spans="1:8" x14ac:dyDescent="0.35">
      <c r="D79" s="12" t="s">
        <v>36</v>
      </c>
      <c r="E79" s="12"/>
      <c r="F79" s="12"/>
      <c r="G79" s="12"/>
      <c r="H79" s="14">
        <f>H77-H76</f>
        <v>59739.003125000003</v>
      </c>
    </row>
  </sheetData>
  <mergeCells count="33">
    <mergeCell ref="H36:H37"/>
    <mergeCell ref="A51:G51"/>
    <mergeCell ref="B59:G59"/>
    <mergeCell ref="A60:A62"/>
    <mergeCell ref="B60:G60"/>
    <mergeCell ref="B61:B62"/>
    <mergeCell ref="C61:C62"/>
    <mergeCell ref="D61:D62"/>
    <mergeCell ref="E61:E62"/>
    <mergeCell ref="F61:F62"/>
    <mergeCell ref="G61:G62"/>
    <mergeCell ref="H61:H62"/>
    <mergeCell ref="A26:G26"/>
    <mergeCell ref="B34:G34"/>
    <mergeCell ref="A35:A37"/>
    <mergeCell ref="B35:G35"/>
    <mergeCell ref="B36:B37"/>
    <mergeCell ref="C36:C37"/>
    <mergeCell ref="D36:D37"/>
    <mergeCell ref="E36:E37"/>
    <mergeCell ref="F36:F37"/>
    <mergeCell ref="G36:G37"/>
    <mergeCell ref="H11:H12"/>
    <mergeCell ref="A1:G1"/>
    <mergeCell ref="B9:G9"/>
    <mergeCell ref="A10:A12"/>
    <mergeCell ref="B10:G10"/>
    <mergeCell ref="B11:B12"/>
    <mergeCell ref="C11:C12"/>
    <mergeCell ref="D11:D12"/>
    <mergeCell ref="E11:E12"/>
    <mergeCell ref="F11:F12"/>
    <mergeCell ref="G11:G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28C31-38A4-4256-904C-58CC3E545F13}">
  <dimension ref="A1:H80"/>
  <sheetViews>
    <sheetView topLeftCell="A63" workbookViewId="0">
      <selection activeCell="H79" sqref="H79"/>
    </sheetView>
  </sheetViews>
  <sheetFormatPr defaultRowHeight="14.5" x14ac:dyDescent="0.35"/>
  <cols>
    <col min="1" max="8" width="18.54296875" customWidth="1"/>
  </cols>
  <sheetData>
    <row r="1" spans="1:8" ht="21.5" thickBot="1" x14ac:dyDescent="0.55000000000000004">
      <c r="A1" s="27" t="s">
        <v>0</v>
      </c>
      <c r="B1" s="28"/>
      <c r="C1" s="28"/>
      <c r="D1" s="28"/>
      <c r="E1" s="28"/>
      <c r="F1" s="28"/>
      <c r="G1" s="28"/>
    </row>
    <row r="2" spans="1:8" x14ac:dyDescent="0.35">
      <c r="A2" s="1"/>
      <c r="B2" s="2"/>
      <c r="C2" s="2"/>
      <c r="D2" s="2"/>
      <c r="E2" s="2"/>
      <c r="F2" s="2"/>
      <c r="G2" s="2"/>
      <c r="H2" s="3"/>
    </row>
    <row r="3" spans="1:8" x14ac:dyDescent="0.35">
      <c r="A3" s="4" t="s">
        <v>1</v>
      </c>
      <c r="B3" t="s">
        <v>2</v>
      </c>
      <c r="H3" s="5"/>
    </row>
    <row r="4" spans="1:8" x14ac:dyDescent="0.35">
      <c r="A4" s="4" t="s">
        <v>3</v>
      </c>
      <c r="B4" t="s">
        <v>4</v>
      </c>
      <c r="H4" s="5"/>
    </row>
    <row r="5" spans="1:8" x14ac:dyDescent="0.35">
      <c r="A5" s="4" t="s">
        <v>5</v>
      </c>
      <c r="B5" t="s">
        <v>103</v>
      </c>
      <c r="H5" s="5"/>
    </row>
    <row r="6" spans="1:8" x14ac:dyDescent="0.35">
      <c r="A6" s="4" t="s">
        <v>6</v>
      </c>
      <c r="B6" s="25">
        <v>45752</v>
      </c>
      <c r="H6" s="5"/>
    </row>
    <row r="7" spans="1:8" ht="15" thickBot="1" x14ac:dyDescent="0.4">
      <c r="A7" s="6" t="s">
        <v>7</v>
      </c>
      <c r="B7" s="7"/>
      <c r="C7" s="7"/>
      <c r="D7" s="7"/>
      <c r="E7" s="7"/>
      <c r="F7" s="7"/>
      <c r="G7" s="7"/>
      <c r="H7" s="8"/>
    </row>
    <row r="8" spans="1:8" ht="15" thickBot="1" x14ac:dyDescent="0.4">
      <c r="A8" s="1"/>
      <c r="B8" s="2"/>
      <c r="C8" s="2"/>
      <c r="D8" s="2"/>
      <c r="E8" s="2"/>
      <c r="F8" s="2"/>
      <c r="G8" s="2"/>
      <c r="H8" s="3"/>
    </row>
    <row r="9" spans="1:8" ht="16" thickBot="1" x14ac:dyDescent="0.4">
      <c r="A9" s="9" t="s">
        <v>8</v>
      </c>
      <c r="B9" s="29" t="s">
        <v>9</v>
      </c>
      <c r="C9" s="29"/>
      <c r="D9" s="29"/>
      <c r="E9" s="29"/>
      <c r="F9" s="29"/>
      <c r="G9" s="29"/>
      <c r="H9" s="10">
        <v>1000</v>
      </c>
    </row>
    <row r="10" spans="1:8" ht="15.5" x14ac:dyDescent="0.35">
      <c r="A10" s="30" t="s">
        <v>10</v>
      </c>
      <c r="B10" s="32" t="s">
        <v>11</v>
      </c>
      <c r="C10" s="32"/>
      <c r="D10" s="32"/>
      <c r="E10" s="32"/>
      <c r="F10" s="32"/>
      <c r="G10" s="32"/>
      <c r="H10" s="11" t="s">
        <v>12</v>
      </c>
    </row>
    <row r="11" spans="1:8" x14ac:dyDescent="0.35">
      <c r="A11" s="31"/>
      <c r="B11" s="33" t="s">
        <v>13</v>
      </c>
      <c r="C11" s="33" t="s">
        <v>14</v>
      </c>
      <c r="D11" s="33" t="s">
        <v>15</v>
      </c>
      <c r="E11" s="33" t="s">
        <v>16</v>
      </c>
      <c r="F11" s="33" t="s">
        <v>17</v>
      </c>
      <c r="G11" s="33" t="s">
        <v>18</v>
      </c>
      <c r="H11" s="26" t="s">
        <v>19</v>
      </c>
    </row>
    <row r="12" spans="1:8" x14ac:dyDescent="0.35">
      <c r="A12" s="31"/>
      <c r="B12" s="33"/>
      <c r="C12" s="33"/>
      <c r="D12" s="33"/>
      <c r="E12" s="33"/>
      <c r="F12" s="33"/>
      <c r="G12" s="33"/>
      <c r="H12" s="26"/>
    </row>
    <row r="13" spans="1:8" x14ac:dyDescent="0.35">
      <c r="A13" s="12" t="s">
        <v>81</v>
      </c>
      <c r="B13" s="12">
        <v>1000</v>
      </c>
      <c r="C13" s="13" t="s">
        <v>26</v>
      </c>
      <c r="D13" s="14">
        <v>185000</v>
      </c>
      <c r="E13" s="12">
        <v>3000</v>
      </c>
      <c r="F13" s="13" t="s">
        <v>26</v>
      </c>
      <c r="G13" s="15">
        <v>0</v>
      </c>
      <c r="H13" s="14">
        <f>IF(B13&gt;0,(D13+(D13*G13))*B13/E13,0)</f>
        <v>61666.666666666664</v>
      </c>
    </row>
    <row r="14" spans="1:8" x14ac:dyDescent="0.35">
      <c r="A14" s="19" t="s">
        <v>23</v>
      </c>
      <c r="B14" s="12">
        <v>3</v>
      </c>
      <c r="C14" s="13" t="s">
        <v>24</v>
      </c>
      <c r="D14" s="14">
        <v>69000</v>
      </c>
      <c r="E14" s="12">
        <v>30</v>
      </c>
      <c r="F14" s="13" t="s">
        <v>24</v>
      </c>
      <c r="G14" s="15">
        <v>0</v>
      </c>
      <c r="H14" s="14">
        <f t="shared" ref="H14:H23" si="0">IF(B14&gt;0,(D14+(D14*G14))*B14/E14,0)</f>
        <v>6900</v>
      </c>
    </row>
    <row r="15" spans="1:8" x14ac:dyDescent="0.35">
      <c r="A15" s="19" t="s">
        <v>84</v>
      </c>
      <c r="B15" s="12">
        <v>30</v>
      </c>
      <c r="C15" s="13" t="s">
        <v>20</v>
      </c>
      <c r="D15" s="14">
        <v>40000</v>
      </c>
      <c r="E15" s="12">
        <v>1000</v>
      </c>
      <c r="F15" s="13" t="s">
        <v>20</v>
      </c>
      <c r="G15" s="15">
        <v>0</v>
      </c>
      <c r="H15" s="14">
        <f t="shared" si="0"/>
        <v>1200</v>
      </c>
    </row>
    <row r="16" spans="1:8" x14ac:dyDescent="0.35">
      <c r="A16" s="19" t="s">
        <v>104</v>
      </c>
      <c r="B16" s="12">
        <v>50</v>
      </c>
      <c r="C16" s="13" t="s">
        <v>20</v>
      </c>
      <c r="D16" s="14">
        <v>46220</v>
      </c>
      <c r="E16" s="12">
        <v>30</v>
      </c>
      <c r="F16" s="13" t="s">
        <v>20</v>
      </c>
      <c r="G16" s="15">
        <v>0</v>
      </c>
      <c r="H16" s="14">
        <f t="shared" si="0"/>
        <v>77033.333333333328</v>
      </c>
    </row>
    <row r="17" spans="1:8" x14ac:dyDescent="0.35">
      <c r="A17" s="19" t="s">
        <v>105</v>
      </c>
      <c r="B17" s="12">
        <v>10</v>
      </c>
      <c r="C17" s="13" t="s">
        <v>20</v>
      </c>
      <c r="D17" s="14">
        <v>45000</v>
      </c>
      <c r="E17" s="12">
        <v>1000</v>
      </c>
      <c r="F17" s="13" t="s">
        <v>20</v>
      </c>
      <c r="G17" s="15">
        <v>0</v>
      </c>
      <c r="H17" s="14">
        <f t="shared" si="0"/>
        <v>450</v>
      </c>
    </row>
    <row r="18" spans="1:8" x14ac:dyDescent="0.35">
      <c r="A18" s="19" t="s">
        <v>29</v>
      </c>
      <c r="B18" s="12">
        <v>10</v>
      </c>
      <c r="C18" s="13" t="s">
        <v>20</v>
      </c>
      <c r="D18" s="14">
        <v>9000</v>
      </c>
      <c r="E18" s="12">
        <v>1000</v>
      </c>
      <c r="F18" s="13" t="s">
        <v>20</v>
      </c>
      <c r="G18" s="15">
        <v>0</v>
      </c>
      <c r="H18" s="14">
        <f t="shared" si="0"/>
        <v>90</v>
      </c>
    </row>
    <row r="19" spans="1:8" x14ac:dyDescent="0.35">
      <c r="A19" s="19" t="s">
        <v>106</v>
      </c>
      <c r="B19" s="12">
        <v>5</v>
      </c>
      <c r="C19" s="13" t="s">
        <v>26</v>
      </c>
      <c r="D19" s="14">
        <v>44200</v>
      </c>
      <c r="E19" s="12">
        <v>473</v>
      </c>
      <c r="F19" s="13" t="s">
        <v>26</v>
      </c>
      <c r="G19" s="15">
        <v>0</v>
      </c>
      <c r="H19" s="14">
        <f t="shared" si="0"/>
        <v>467.23044397463002</v>
      </c>
    </row>
    <row r="20" spans="1:8" x14ac:dyDescent="0.35">
      <c r="A20" s="19" t="s">
        <v>107</v>
      </c>
      <c r="B20" s="12">
        <v>5</v>
      </c>
      <c r="C20" s="13" t="s">
        <v>26</v>
      </c>
      <c r="D20" s="14">
        <v>75000</v>
      </c>
      <c r="E20" s="12">
        <v>150</v>
      </c>
      <c r="F20" s="13" t="s">
        <v>26</v>
      </c>
      <c r="G20" s="15">
        <v>0</v>
      </c>
      <c r="H20" s="14">
        <f t="shared" si="0"/>
        <v>2500</v>
      </c>
    </row>
    <row r="21" spans="1:8" x14ac:dyDescent="0.35">
      <c r="A21" s="19" t="s">
        <v>108</v>
      </c>
      <c r="B21" s="12">
        <v>20</v>
      </c>
      <c r="C21" s="13" t="s">
        <v>26</v>
      </c>
      <c r="D21" s="14">
        <v>75318.92</v>
      </c>
      <c r="E21" s="12">
        <v>1000</v>
      </c>
      <c r="F21" s="13" t="s">
        <v>26</v>
      </c>
      <c r="G21" s="15">
        <v>0</v>
      </c>
      <c r="H21" s="14">
        <f t="shared" si="0"/>
        <v>1506.3783999999998</v>
      </c>
    </row>
    <row r="22" spans="1:8" x14ac:dyDescent="0.35">
      <c r="A22" s="19" t="s">
        <v>109</v>
      </c>
      <c r="B22" s="12">
        <v>10</v>
      </c>
      <c r="C22" s="13" t="s">
        <v>26</v>
      </c>
      <c r="D22" s="14">
        <v>65000</v>
      </c>
      <c r="E22" s="12">
        <v>396</v>
      </c>
      <c r="F22" s="13" t="s">
        <v>26</v>
      </c>
      <c r="G22" s="15">
        <v>0</v>
      </c>
      <c r="H22" s="14">
        <f t="shared" si="0"/>
        <v>1641.4141414141413</v>
      </c>
    </row>
    <row r="23" spans="1:8" x14ac:dyDescent="0.35">
      <c r="A23" s="19" t="s">
        <v>80</v>
      </c>
      <c r="B23" s="12">
        <v>50</v>
      </c>
      <c r="C23" s="13" t="s">
        <v>20</v>
      </c>
      <c r="D23" s="14">
        <v>388800</v>
      </c>
      <c r="E23" s="12">
        <v>1000</v>
      </c>
      <c r="F23" s="13" t="s">
        <v>20</v>
      </c>
      <c r="G23" s="15">
        <v>0</v>
      </c>
      <c r="H23" s="14">
        <f t="shared" si="0"/>
        <v>19440</v>
      </c>
    </row>
    <row r="24" spans="1:8" x14ac:dyDescent="0.35">
      <c r="D24" s="17" t="s">
        <v>31</v>
      </c>
      <c r="E24" s="17"/>
      <c r="F24" s="17"/>
      <c r="G24" s="17"/>
      <c r="H24" s="18">
        <f>SUM(H13:H23)</f>
        <v>172895.02298538876</v>
      </c>
    </row>
    <row r="25" spans="1:8" x14ac:dyDescent="0.35">
      <c r="D25" s="12" t="s">
        <v>32</v>
      </c>
      <c r="E25" s="12"/>
      <c r="F25" s="12"/>
      <c r="G25" s="12"/>
      <c r="H25" s="14">
        <f>H24*0.15</f>
        <v>25934.253447808314</v>
      </c>
    </row>
    <row r="26" spans="1:8" x14ac:dyDescent="0.35">
      <c r="D26" s="12" t="s">
        <v>12</v>
      </c>
      <c r="E26" s="12"/>
      <c r="F26" s="12"/>
      <c r="G26" s="12"/>
      <c r="H26" s="14">
        <f>H24+H25</f>
        <v>198829.27643319708</v>
      </c>
    </row>
    <row r="27" spans="1:8" x14ac:dyDescent="0.35">
      <c r="D27" s="12" t="s">
        <v>33</v>
      </c>
      <c r="E27" s="12"/>
      <c r="F27" s="12"/>
      <c r="G27" s="12"/>
      <c r="H27" s="14">
        <f>H26/H9</f>
        <v>198.82927643319709</v>
      </c>
    </row>
    <row r="28" spans="1:8" x14ac:dyDescent="0.35">
      <c r="D28" s="12" t="s">
        <v>34</v>
      </c>
      <c r="E28" s="12"/>
      <c r="F28" s="12"/>
      <c r="G28" s="12"/>
      <c r="H28" s="16">
        <v>200</v>
      </c>
    </row>
    <row r="29" spans="1:8" x14ac:dyDescent="0.35">
      <c r="D29" s="12" t="s">
        <v>35</v>
      </c>
      <c r="E29" s="12"/>
      <c r="F29" s="12"/>
      <c r="G29" s="12"/>
      <c r="H29" s="15">
        <f>H27/H28</f>
        <v>0.9941463821659855</v>
      </c>
    </row>
    <row r="30" spans="1:8" x14ac:dyDescent="0.35">
      <c r="D30" s="12" t="s">
        <v>36</v>
      </c>
      <c r="E30" s="12"/>
      <c r="F30" s="12"/>
      <c r="G30" s="12"/>
      <c r="H30" s="14">
        <f>H28-H27</f>
        <v>1.1707235668029057</v>
      </c>
    </row>
    <row r="33" spans="1:8" ht="21.5" thickBot="1" x14ac:dyDescent="0.55000000000000004">
      <c r="A33" s="27" t="s">
        <v>0</v>
      </c>
      <c r="B33" s="28"/>
      <c r="C33" s="28"/>
      <c r="D33" s="28"/>
      <c r="E33" s="28"/>
      <c r="F33" s="28"/>
      <c r="G33" s="28"/>
    </row>
    <row r="34" spans="1:8" x14ac:dyDescent="0.35">
      <c r="A34" s="1"/>
      <c r="B34" s="2"/>
      <c r="C34" s="2"/>
      <c r="D34" s="2"/>
      <c r="E34" s="2"/>
      <c r="F34" s="2"/>
      <c r="G34" s="2"/>
      <c r="H34" s="3"/>
    </row>
    <row r="35" spans="1:8" x14ac:dyDescent="0.35">
      <c r="A35" s="4" t="s">
        <v>1</v>
      </c>
      <c r="B35" t="s">
        <v>2</v>
      </c>
      <c r="H35" s="5"/>
    </row>
    <row r="36" spans="1:8" x14ac:dyDescent="0.35">
      <c r="A36" s="4" t="s">
        <v>3</v>
      </c>
      <c r="B36" t="s">
        <v>4</v>
      </c>
      <c r="H36" s="5"/>
    </row>
    <row r="37" spans="1:8" x14ac:dyDescent="0.35">
      <c r="A37" s="4" t="s">
        <v>5</v>
      </c>
      <c r="B37" t="s">
        <v>111</v>
      </c>
      <c r="H37" s="5"/>
    </row>
    <row r="38" spans="1:8" x14ac:dyDescent="0.35">
      <c r="A38" s="4" t="s">
        <v>6</v>
      </c>
      <c r="B38" s="25">
        <v>45752</v>
      </c>
      <c r="H38" s="5"/>
    </row>
    <row r="39" spans="1:8" ht="15" thickBot="1" x14ac:dyDescent="0.4">
      <c r="A39" s="6" t="s">
        <v>7</v>
      </c>
      <c r="B39" s="7"/>
      <c r="C39" s="7"/>
      <c r="D39" s="7"/>
      <c r="E39" s="7"/>
      <c r="F39" s="7"/>
      <c r="G39" s="7"/>
      <c r="H39" s="8"/>
    </row>
    <row r="40" spans="1:8" ht="15" thickBot="1" x14ac:dyDescent="0.4">
      <c r="A40" s="1"/>
      <c r="B40" s="2"/>
      <c r="C40" s="2"/>
      <c r="D40" s="2"/>
      <c r="E40" s="2"/>
      <c r="F40" s="2"/>
      <c r="G40" s="2"/>
      <c r="H40" s="3"/>
    </row>
    <row r="41" spans="1:8" ht="16" thickBot="1" x14ac:dyDescent="0.4">
      <c r="A41" s="9" t="s">
        <v>8</v>
      </c>
      <c r="B41" s="29" t="s">
        <v>9</v>
      </c>
      <c r="C41" s="29"/>
      <c r="D41" s="29"/>
      <c r="E41" s="29"/>
      <c r="F41" s="29"/>
      <c r="G41" s="29"/>
      <c r="H41" s="10">
        <v>30</v>
      </c>
    </row>
    <row r="42" spans="1:8" ht="15.5" customHeight="1" x14ac:dyDescent="0.35">
      <c r="A42" s="30" t="s">
        <v>10</v>
      </c>
      <c r="B42" s="32" t="s">
        <v>11</v>
      </c>
      <c r="C42" s="32"/>
      <c r="D42" s="32"/>
      <c r="E42" s="32"/>
      <c r="F42" s="32"/>
      <c r="G42" s="32"/>
      <c r="H42" s="11" t="s">
        <v>12</v>
      </c>
    </row>
    <row r="43" spans="1:8" ht="14.5" customHeight="1" x14ac:dyDescent="0.35">
      <c r="A43" s="31"/>
      <c r="B43" s="33" t="s">
        <v>13</v>
      </c>
      <c r="C43" s="33" t="s">
        <v>14</v>
      </c>
      <c r="D43" s="33" t="s">
        <v>15</v>
      </c>
      <c r="E43" s="33" t="s">
        <v>16</v>
      </c>
      <c r="F43" s="33" t="s">
        <v>17</v>
      </c>
      <c r="G43" s="33" t="s">
        <v>18</v>
      </c>
      <c r="H43" s="26" t="s">
        <v>19</v>
      </c>
    </row>
    <row r="44" spans="1:8" ht="14.5" customHeight="1" x14ac:dyDescent="0.35">
      <c r="A44" s="31"/>
      <c r="B44" s="33"/>
      <c r="C44" s="33"/>
      <c r="D44" s="33"/>
      <c r="E44" s="33"/>
      <c r="F44" s="33"/>
      <c r="G44" s="33"/>
      <c r="H44" s="26"/>
    </row>
    <row r="45" spans="1:8" x14ac:dyDescent="0.35">
      <c r="A45" s="12" t="s">
        <v>110</v>
      </c>
      <c r="B45" s="12">
        <v>10</v>
      </c>
      <c r="C45" s="13" t="s">
        <v>24</v>
      </c>
      <c r="D45" s="14">
        <v>18500</v>
      </c>
      <c r="E45" s="12">
        <v>10</v>
      </c>
      <c r="F45" s="13" t="s">
        <v>24</v>
      </c>
      <c r="G45" s="15">
        <v>0</v>
      </c>
      <c r="H45" s="14">
        <f>IF(B45&gt;0,(D45+(D45*G45))*B45/E45,0)</f>
        <v>18500</v>
      </c>
    </row>
    <row r="46" spans="1:8" x14ac:dyDescent="0.35">
      <c r="A46" s="12" t="s">
        <v>89</v>
      </c>
      <c r="B46" s="12">
        <v>10</v>
      </c>
      <c r="C46" s="13" t="s">
        <v>20</v>
      </c>
      <c r="D46" s="14">
        <v>125000</v>
      </c>
      <c r="E46" s="12">
        <v>1000</v>
      </c>
      <c r="F46" s="13" t="s">
        <v>20</v>
      </c>
      <c r="G46" s="15">
        <v>0</v>
      </c>
      <c r="H46" s="14">
        <f t="shared" ref="H46:H48" si="1">IF(B46&gt;0,(D46+(D46*G46))*B46/E46,0)</f>
        <v>1250</v>
      </c>
    </row>
    <row r="47" spans="1:8" x14ac:dyDescent="0.35">
      <c r="A47" s="12" t="s">
        <v>84</v>
      </c>
      <c r="B47" s="12">
        <v>20</v>
      </c>
      <c r="C47" s="13" t="s">
        <v>20</v>
      </c>
      <c r="D47" s="14">
        <v>30000</v>
      </c>
      <c r="E47" s="12">
        <v>1000</v>
      </c>
      <c r="F47" s="13" t="s">
        <v>20</v>
      </c>
      <c r="G47" s="15">
        <v>0</v>
      </c>
      <c r="H47" s="14">
        <f t="shared" si="1"/>
        <v>600</v>
      </c>
    </row>
    <row r="48" spans="1:8" x14ac:dyDescent="0.35">
      <c r="A48" s="12" t="s">
        <v>50</v>
      </c>
      <c r="B48" s="12">
        <v>30</v>
      </c>
      <c r="C48" s="13" t="s">
        <v>20</v>
      </c>
      <c r="D48" s="14">
        <v>1100000</v>
      </c>
      <c r="E48" s="12">
        <v>5000</v>
      </c>
      <c r="F48" s="13" t="s">
        <v>20</v>
      </c>
      <c r="G48" s="15">
        <v>0</v>
      </c>
      <c r="H48" s="14">
        <f t="shared" si="1"/>
        <v>6600</v>
      </c>
    </row>
    <row r="49" spans="1:8" x14ac:dyDescent="0.35">
      <c r="D49" s="12" t="s">
        <v>31</v>
      </c>
      <c r="E49" s="12"/>
      <c r="F49" s="12"/>
      <c r="G49" s="12"/>
      <c r="H49" s="14">
        <f>SUM(H45:H48)</f>
        <v>26950</v>
      </c>
    </row>
    <row r="50" spans="1:8" x14ac:dyDescent="0.35">
      <c r="D50" s="12" t="s">
        <v>32</v>
      </c>
      <c r="E50" s="12"/>
      <c r="F50" s="12"/>
      <c r="G50" s="12"/>
      <c r="H50" s="14">
        <f>H49*0.15</f>
        <v>4042.5</v>
      </c>
    </row>
    <row r="51" spans="1:8" x14ac:dyDescent="0.35">
      <c r="D51" s="12" t="s">
        <v>12</v>
      </c>
      <c r="E51" s="12"/>
      <c r="F51" s="12"/>
      <c r="G51" s="12"/>
      <c r="H51" s="14">
        <f>H49+H50</f>
        <v>30992.5</v>
      </c>
    </row>
    <row r="52" spans="1:8" x14ac:dyDescent="0.35">
      <c r="D52" s="12" t="s">
        <v>33</v>
      </c>
      <c r="E52" s="12"/>
      <c r="F52" s="12"/>
      <c r="G52" s="12"/>
      <c r="H52" s="14">
        <f>H51/H41</f>
        <v>1033.0833333333333</v>
      </c>
    </row>
    <row r="53" spans="1:8" x14ac:dyDescent="0.35">
      <c r="D53" s="12" t="s">
        <v>34</v>
      </c>
      <c r="E53" s="12"/>
      <c r="F53" s="12"/>
      <c r="G53" s="12"/>
      <c r="H53" s="21">
        <v>1100</v>
      </c>
    </row>
    <row r="54" spans="1:8" x14ac:dyDescent="0.35">
      <c r="D54" s="12" t="s">
        <v>35</v>
      </c>
      <c r="E54" s="12"/>
      <c r="F54" s="12"/>
      <c r="G54" s="12"/>
      <c r="H54" s="15">
        <f>H52/H53</f>
        <v>0.93916666666666659</v>
      </c>
    </row>
    <row r="55" spans="1:8" x14ac:dyDescent="0.35">
      <c r="D55" s="12" t="s">
        <v>36</v>
      </c>
      <c r="E55" s="12"/>
      <c r="F55" s="12"/>
      <c r="G55" s="12"/>
      <c r="H55" s="14">
        <f>H53-H52</f>
        <v>66.916666666666742</v>
      </c>
    </row>
    <row r="58" spans="1:8" ht="21.5" thickBot="1" x14ac:dyDescent="0.55000000000000004">
      <c r="A58" s="27" t="s">
        <v>0</v>
      </c>
      <c r="B58" s="28"/>
      <c r="C58" s="28"/>
      <c r="D58" s="28"/>
      <c r="E58" s="28"/>
      <c r="F58" s="28"/>
      <c r="G58" s="28"/>
    </row>
    <row r="59" spans="1:8" x14ac:dyDescent="0.35">
      <c r="A59" s="1"/>
      <c r="B59" s="2"/>
      <c r="C59" s="2"/>
      <c r="D59" s="2"/>
      <c r="E59" s="2"/>
      <c r="F59" s="2"/>
      <c r="G59" s="2"/>
      <c r="H59" s="3"/>
    </row>
    <row r="60" spans="1:8" x14ac:dyDescent="0.35">
      <c r="A60" s="4" t="s">
        <v>1</v>
      </c>
      <c r="B60" t="s">
        <v>2</v>
      </c>
      <c r="H60" s="5"/>
    </row>
    <row r="61" spans="1:8" x14ac:dyDescent="0.35">
      <c r="A61" s="4" t="s">
        <v>3</v>
      </c>
      <c r="B61" t="s">
        <v>4</v>
      </c>
      <c r="H61" s="5"/>
    </row>
    <row r="62" spans="1:8" x14ac:dyDescent="0.35">
      <c r="A62" s="4" t="s">
        <v>5</v>
      </c>
      <c r="B62" t="s">
        <v>112</v>
      </c>
      <c r="H62" s="5"/>
    </row>
    <row r="63" spans="1:8" x14ac:dyDescent="0.35">
      <c r="A63" s="4" t="s">
        <v>6</v>
      </c>
      <c r="B63" s="25">
        <v>45752</v>
      </c>
      <c r="H63" s="5"/>
    </row>
    <row r="64" spans="1:8" ht="15" thickBot="1" x14ac:dyDescent="0.4">
      <c r="A64" s="6" t="s">
        <v>7</v>
      </c>
      <c r="B64" s="7"/>
      <c r="C64" s="7"/>
      <c r="D64" s="7"/>
      <c r="E64" s="7"/>
      <c r="F64" s="7"/>
      <c r="G64" s="7"/>
      <c r="H64" s="8"/>
    </row>
    <row r="65" spans="1:8" ht="15" thickBot="1" x14ac:dyDescent="0.4">
      <c r="A65" s="1"/>
      <c r="B65" s="2"/>
      <c r="C65" s="2"/>
      <c r="D65" s="2"/>
      <c r="E65" s="2"/>
      <c r="F65" s="2"/>
      <c r="G65" s="2"/>
      <c r="H65" s="3"/>
    </row>
    <row r="66" spans="1:8" ht="16" thickBot="1" x14ac:dyDescent="0.4">
      <c r="A66" s="9" t="s">
        <v>8</v>
      </c>
      <c r="B66" s="29" t="s">
        <v>9</v>
      </c>
      <c r="C66" s="29"/>
      <c r="D66" s="29"/>
      <c r="E66" s="29"/>
      <c r="F66" s="29"/>
      <c r="G66" s="29"/>
      <c r="H66" s="10">
        <v>10</v>
      </c>
    </row>
    <row r="67" spans="1:8" ht="15.5" x14ac:dyDescent="0.35">
      <c r="A67" s="30" t="s">
        <v>10</v>
      </c>
      <c r="B67" s="32" t="s">
        <v>11</v>
      </c>
      <c r="C67" s="32"/>
      <c r="D67" s="32"/>
      <c r="E67" s="32"/>
      <c r="F67" s="32"/>
      <c r="G67" s="32"/>
      <c r="H67" s="11" t="s">
        <v>12</v>
      </c>
    </row>
    <row r="68" spans="1:8" x14ac:dyDescent="0.35">
      <c r="A68" s="31"/>
      <c r="B68" s="33" t="s">
        <v>13</v>
      </c>
      <c r="C68" s="33" t="s">
        <v>14</v>
      </c>
      <c r="D68" s="33" t="s">
        <v>15</v>
      </c>
      <c r="E68" s="33" t="s">
        <v>16</v>
      </c>
      <c r="F68" s="33" t="s">
        <v>17</v>
      </c>
      <c r="G68" s="33" t="s">
        <v>18</v>
      </c>
      <c r="H68" s="26" t="s">
        <v>19</v>
      </c>
    </row>
    <row r="69" spans="1:8" x14ac:dyDescent="0.35">
      <c r="A69" s="31"/>
      <c r="B69" s="33"/>
      <c r="C69" s="33"/>
      <c r="D69" s="33"/>
      <c r="E69" s="33"/>
      <c r="F69" s="33"/>
      <c r="G69" s="33"/>
      <c r="H69" s="26"/>
    </row>
    <row r="70" spans="1:8" x14ac:dyDescent="0.35">
      <c r="A70" s="12" t="s">
        <v>113</v>
      </c>
      <c r="B70" s="12">
        <v>600</v>
      </c>
      <c r="C70" s="13" t="s">
        <v>20</v>
      </c>
      <c r="D70" s="14">
        <v>60306</v>
      </c>
      <c r="E70" s="12">
        <v>1000</v>
      </c>
      <c r="F70" s="13" t="s">
        <v>26</v>
      </c>
      <c r="G70" s="15">
        <v>0</v>
      </c>
      <c r="H70" s="14">
        <f>IF(B70&gt;0,(D70+(D70*G70))*B70/E70,0)</f>
        <v>36183.599999999999</v>
      </c>
    </row>
    <row r="71" spans="1:8" x14ac:dyDescent="0.35">
      <c r="A71" s="19" t="s">
        <v>111</v>
      </c>
      <c r="B71" s="12">
        <v>10</v>
      </c>
      <c r="C71" s="23" t="s">
        <v>24</v>
      </c>
      <c r="D71" s="14">
        <v>1100</v>
      </c>
      <c r="E71" s="12">
        <v>1</v>
      </c>
      <c r="F71" s="13" t="s">
        <v>26</v>
      </c>
      <c r="G71" s="15">
        <v>0</v>
      </c>
      <c r="H71" s="14">
        <f t="shared" ref="H71:H73" si="2">IF(B71&gt;0,(D71+(D71*G71))*B71/E71,0)</f>
        <v>11000</v>
      </c>
    </row>
    <row r="72" spans="1:8" x14ac:dyDescent="0.35">
      <c r="A72" s="19" t="s">
        <v>103</v>
      </c>
      <c r="B72" s="12">
        <v>800</v>
      </c>
      <c r="C72" s="23" t="s">
        <v>26</v>
      </c>
      <c r="D72" s="14">
        <v>200</v>
      </c>
      <c r="E72" s="12">
        <v>1</v>
      </c>
      <c r="F72" s="13" t="s">
        <v>26</v>
      </c>
      <c r="G72" s="15">
        <v>0</v>
      </c>
      <c r="H72" s="14">
        <f t="shared" si="2"/>
        <v>160000</v>
      </c>
    </row>
    <row r="73" spans="1:8" x14ac:dyDescent="0.35">
      <c r="A73" s="19" t="s">
        <v>83</v>
      </c>
      <c r="B73" s="12">
        <v>50</v>
      </c>
      <c r="C73" s="23" t="s">
        <v>20</v>
      </c>
      <c r="D73" s="14">
        <v>127229.98</v>
      </c>
      <c r="E73" s="12">
        <v>1000</v>
      </c>
      <c r="F73" s="13" t="s">
        <v>26</v>
      </c>
      <c r="G73" s="15">
        <v>0</v>
      </c>
      <c r="H73" s="14">
        <f t="shared" si="2"/>
        <v>6361.4989999999998</v>
      </c>
    </row>
    <row r="74" spans="1:8" x14ac:dyDescent="0.35">
      <c r="D74" s="12" t="s">
        <v>31</v>
      </c>
      <c r="E74" s="12"/>
      <c r="F74" s="12"/>
      <c r="G74" s="12"/>
      <c r="H74" s="14">
        <f>SUM(H70:H73)</f>
        <v>213545.09900000002</v>
      </c>
    </row>
    <row r="75" spans="1:8" x14ac:dyDescent="0.35">
      <c r="D75" s="12" t="s">
        <v>32</v>
      </c>
      <c r="E75" s="12"/>
      <c r="F75" s="12"/>
      <c r="G75" s="12"/>
      <c r="H75" s="14">
        <f>H74*0.15</f>
        <v>32031.76485</v>
      </c>
    </row>
    <row r="76" spans="1:8" x14ac:dyDescent="0.35">
      <c r="D76" s="12" t="s">
        <v>12</v>
      </c>
      <c r="E76" s="12"/>
      <c r="F76" s="12"/>
      <c r="G76" s="12"/>
      <c r="H76" s="14">
        <f>H74+H75</f>
        <v>245576.86385000002</v>
      </c>
    </row>
    <row r="77" spans="1:8" x14ac:dyDescent="0.35">
      <c r="D77" s="12" t="s">
        <v>33</v>
      </c>
      <c r="E77" s="12"/>
      <c r="F77" s="12"/>
      <c r="G77" s="12"/>
      <c r="H77" s="14">
        <f>H76/H66</f>
        <v>24557.686385000001</v>
      </c>
    </row>
    <row r="78" spans="1:8" x14ac:dyDescent="0.35">
      <c r="D78" s="12" t="s">
        <v>34</v>
      </c>
      <c r="E78" s="12"/>
      <c r="F78" s="12"/>
      <c r="G78" s="12"/>
      <c r="H78" s="21">
        <v>65000</v>
      </c>
    </row>
    <row r="79" spans="1:8" x14ac:dyDescent="0.35">
      <c r="D79" s="12" t="s">
        <v>35</v>
      </c>
      <c r="E79" s="12"/>
      <c r="F79" s="12"/>
      <c r="G79" s="12"/>
      <c r="H79" s="15">
        <f>H77/H78</f>
        <v>0.37781055976923078</v>
      </c>
    </row>
    <row r="80" spans="1:8" x14ac:dyDescent="0.35">
      <c r="D80" s="12" t="s">
        <v>36</v>
      </c>
      <c r="E80" s="12"/>
      <c r="F80" s="12"/>
      <c r="G80" s="12"/>
      <c r="H80" s="14">
        <f>H78-H77</f>
        <v>40442.313614999999</v>
      </c>
    </row>
  </sheetData>
  <mergeCells count="33">
    <mergeCell ref="H43:H44"/>
    <mergeCell ref="A58:G58"/>
    <mergeCell ref="B66:G66"/>
    <mergeCell ref="A67:A69"/>
    <mergeCell ref="B67:G67"/>
    <mergeCell ref="B68:B69"/>
    <mergeCell ref="C68:C69"/>
    <mergeCell ref="D68:D69"/>
    <mergeCell ref="E68:E69"/>
    <mergeCell ref="F68:F69"/>
    <mergeCell ref="G68:G69"/>
    <mergeCell ref="H68:H69"/>
    <mergeCell ref="A33:G33"/>
    <mergeCell ref="B41:G41"/>
    <mergeCell ref="A42:A44"/>
    <mergeCell ref="B42:G42"/>
    <mergeCell ref="B43:B44"/>
    <mergeCell ref="C43:C44"/>
    <mergeCell ref="D43:D44"/>
    <mergeCell ref="E43:E44"/>
    <mergeCell ref="F43:F44"/>
    <mergeCell ref="G43:G44"/>
    <mergeCell ref="H11:H12"/>
    <mergeCell ref="A1:G1"/>
    <mergeCell ref="B9:G9"/>
    <mergeCell ref="A10:A12"/>
    <mergeCell ref="B10:G10"/>
    <mergeCell ref="B11:B12"/>
    <mergeCell ref="C11:C12"/>
    <mergeCell ref="D11:D12"/>
    <mergeCell ref="E11:E12"/>
    <mergeCell ref="F11:F12"/>
    <mergeCell ref="G11:G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9E66-08B5-4A8D-9332-9B0CFBEBDD3C}">
  <dimension ref="A1:H65"/>
  <sheetViews>
    <sheetView topLeftCell="A60" workbookViewId="0">
      <selection activeCell="H64" sqref="H64"/>
    </sheetView>
  </sheetViews>
  <sheetFormatPr defaultRowHeight="14.5" x14ac:dyDescent="0.35"/>
  <cols>
    <col min="1" max="8" width="18.7265625" customWidth="1"/>
  </cols>
  <sheetData>
    <row r="1" spans="1:8" ht="21.5" thickBot="1" x14ac:dyDescent="0.55000000000000004">
      <c r="A1" s="27" t="s">
        <v>0</v>
      </c>
      <c r="B1" s="28"/>
      <c r="C1" s="28"/>
      <c r="D1" s="28"/>
      <c r="E1" s="28"/>
      <c r="F1" s="28"/>
      <c r="G1" s="28"/>
    </row>
    <row r="2" spans="1:8" x14ac:dyDescent="0.35">
      <c r="A2" s="1"/>
      <c r="B2" s="2"/>
      <c r="C2" s="2"/>
      <c r="D2" s="2"/>
      <c r="E2" s="2"/>
      <c r="F2" s="2"/>
      <c r="G2" s="2"/>
      <c r="H2" s="3"/>
    </row>
    <row r="3" spans="1:8" x14ac:dyDescent="0.35">
      <c r="A3" s="4" t="s">
        <v>1</v>
      </c>
      <c r="B3" t="s">
        <v>2</v>
      </c>
      <c r="H3" s="5"/>
    </row>
    <row r="4" spans="1:8" x14ac:dyDescent="0.35">
      <c r="A4" s="4" t="s">
        <v>3</v>
      </c>
      <c r="B4" t="s">
        <v>4</v>
      </c>
      <c r="H4" s="5"/>
    </row>
    <row r="5" spans="1:8" x14ac:dyDescent="0.35">
      <c r="A5" s="4" t="s">
        <v>5</v>
      </c>
      <c r="B5" t="s">
        <v>46</v>
      </c>
      <c r="H5" s="5"/>
    </row>
    <row r="6" spans="1:8" x14ac:dyDescent="0.35">
      <c r="A6" s="4" t="s">
        <v>6</v>
      </c>
      <c r="B6" s="25">
        <v>45782</v>
      </c>
      <c r="H6" s="5"/>
    </row>
    <row r="7" spans="1:8" ht="15" thickBot="1" x14ac:dyDescent="0.4">
      <c r="A7" s="6" t="s">
        <v>7</v>
      </c>
      <c r="B7" s="7"/>
      <c r="C7" s="7"/>
      <c r="D7" s="7"/>
      <c r="E7" s="7"/>
      <c r="F7" s="7"/>
      <c r="G7" s="7"/>
      <c r="H7" s="8"/>
    </row>
    <row r="8" spans="1:8" ht="15" thickBot="1" x14ac:dyDescent="0.4">
      <c r="A8" s="1"/>
      <c r="B8" s="2"/>
      <c r="C8" s="2"/>
      <c r="D8" s="2"/>
      <c r="E8" s="2"/>
      <c r="F8" s="2"/>
      <c r="G8" s="2"/>
      <c r="H8" s="3"/>
    </row>
    <row r="9" spans="1:8" ht="16" thickBot="1" x14ac:dyDescent="0.4">
      <c r="A9" s="9" t="s">
        <v>8</v>
      </c>
      <c r="B9" s="29" t="s">
        <v>9</v>
      </c>
      <c r="C9" s="29"/>
      <c r="D9" s="29"/>
      <c r="E9" s="29"/>
      <c r="F9" s="29"/>
      <c r="G9" s="29"/>
      <c r="H9" s="10">
        <v>4000</v>
      </c>
    </row>
    <row r="10" spans="1:8" ht="15.5" customHeight="1" x14ac:dyDescent="0.35">
      <c r="A10" s="30" t="s">
        <v>10</v>
      </c>
      <c r="B10" s="32" t="s">
        <v>11</v>
      </c>
      <c r="C10" s="32"/>
      <c r="D10" s="32"/>
      <c r="E10" s="32"/>
      <c r="F10" s="32"/>
      <c r="G10" s="32"/>
      <c r="H10" s="11" t="s">
        <v>12</v>
      </c>
    </row>
    <row r="11" spans="1:8" ht="14.5" customHeight="1" x14ac:dyDescent="0.35">
      <c r="A11" s="31"/>
      <c r="B11" s="33" t="s">
        <v>13</v>
      </c>
      <c r="C11" s="33" t="s">
        <v>14</v>
      </c>
      <c r="D11" s="33" t="s">
        <v>15</v>
      </c>
      <c r="E11" s="33" t="s">
        <v>16</v>
      </c>
      <c r="F11" s="33" t="s">
        <v>17</v>
      </c>
      <c r="G11" s="33" t="s">
        <v>18</v>
      </c>
      <c r="H11" s="26" t="s">
        <v>19</v>
      </c>
    </row>
    <row r="12" spans="1:8" ht="14.5" customHeight="1" x14ac:dyDescent="0.35">
      <c r="A12" s="31"/>
      <c r="B12" s="33"/>
      <c r="C12" s="33"/>
      <c r="D12" s="33"/>
      <c r="E12" s="33"/>
      <c r="F12" s="33"/>
      <c r="G12" s="33"/>
      <c r="H12" s="26"/>
    </row>
    <row r="13" spans="1:8" x14ac:dyDescent="0.35">
      <c r="A13" s="12" t="s">
        <v>47</v>
      </c>
      <c r="B13" s="12">
        <v>2000</v>
      </c>
      <c r="C13" s="13" t="s">
        <v>20</v>
      </c>
      <c r="D13" s="14">
        <v>21000</v>
      </c>
      <c r="E13" s="12">
        <v>1000</v>
      </c>
      <c r="F13" s="13" t="s">
        <v>20</v>
      </c>
      <c r="G13" s="15">
        <v>0</v>
      </c>
      <c r="H13" s="14">
        <f>IF(B13&gt;0,(D13+(D13*G13))*B13/E13,0)</f>
        <v>42000</v>
      </c>
    </row>
    <row r="14" spans="1:8" x14ac:dyDescent="0.35">
      <c r="A14" s="19" t="s">
        <v>48</v>
      </c>
      <c r="B14" s="12">
        <v>120</v>
      </c>
      <c r="C14" s="13" t="s">
        <v>20</v>
      </c>
      <c r="D14" s="14">
        <v>35000</v>
      </c>
      <c r="E14" s="12">
        <v>1000</v>
      </c>
      <c r="F14" s="13" t="s">
        <v>20</v>
      </c>
      <c r="G14" s="15">
        <v>0</v>
      </c>
      <c r="H14" s="14">
        <f t="shared" ref="H14:H22" si="0">IF(B14&gt;0,(D14+(D14*G14))*B14/E14,0)</f>
        <v>4200</v>
      </c>
    </row>
    <row r="15" spans="1:8" x14ac:dyDescent="0.35">
      <c r="A15" s="19" t="s">
        <v>49</v>
      </c>
      <c r="B15" s="12">
        <v>60</v>
      </c>
      <c r="C15" s="13" t="s">
        <v>20</v>
      </c>
      <c r="D15" s="14">
        <v>25000</v>
      </c>
      <c r="E15" s="12">
        <v>1000</v>
      </c>
      <c r="F15" s="13" t="s">
        <v>20</v>
      </c>
      <c r="G15" s="15">
        <v>0</v>
      </c>
      <c r="H15" s="14">
        <f t="shared" si="0"/>
        <v>1500</v>
      </c>
    </row>
    <row r="16" spans="1:8" x14ac:dyDescent="0.35">
      <c r="A16" s="19" t="s">
        <v>40</v>
      </c>
      <c r="B16" s="12">
        <v>30</v>
      </c>
      <c r="C16" s="13" t="s">
        <v>20</v>
      </c>
      <c r="D16" s="14">
        <v>50000</v>
      </c>
      <c r="E16" s="12">
        <v>1000</v>
      </c>
      <c r="F16" s="13" t="s">
        <v>20</v>
      </c>
      <c r="G16" s="15">
        <v>0</v>
      </c>
      <c r="H16" s="14">
        <f t="shared" si="0"/>
        <v>1500</v>
      </c>
    </row>
    <row r="17" spans="1:8" x14ac:dyDescent="0.35">
      <c r="A17" s="19" t="s">
        <v>50</v>
      </c>
      <c r="B17" s="12">
        <v>30</v>
      </c>
      <c r="C17" s="13" t="s">
        <v>20</v>
      </c>
      <c r="D17" s="14">
        <v>1100000</v>
      </c>
      <c r="E17" s="12">
        <v>5000</v>
      </c>
      <c r="F17" s="13" t="s">
        <v>20</v>
      </c>
      <c r="G17" s="15">
        <v>0</v>
      </c>
      <c r="H17" s="14">
        <f t="shared" si="0"/>
        <v>6600</v>
      </c>
    </row>
    <row r="18" spans="1:8" x14ac:dyDescent="0.35">
      <c r="A18" s="19" t="s">
        <v>51</v>
      </c>
      <c r="B18" s="12">
        <v>50</v>
      </c>
      <c r="C18" s="13" t="s">
        <v>26</v>
      </c>
      <c r="D18" s="14">
        <v>341250</v>
      </c>
      <c r="E18" s="12">
        <v>2000</v>
      </c>
      <c r="F18" s="13" t="s">
        <v>26</v>
      </c>
      <c r="G18" s="15">
        <v>0</v>
      </c>
      <c r="H18" s="14">
        <f t="shared" si="0"/>
        <v>8531.25</v>
      </c>
    </row>
    <row r="19" spans="1:8" x14ac:dyDescent="0.35">
      <c r="A19" s="19" t="s">
        <v>52</v>
      </c>
      <c r="B19" s="12">
        <v>2</v>
      </c>
      <c r="C19" s="13" t="s">
        <v>20</v>
      </c>
      <c r="D19" s="14">
        <v>47500</v>
      </c>
      <c r="E19" s="12">
        <v>200</v>
      </c>
      <c r="F19" s="13" t="s">
        <v>20</v>
      </c>
      <c r="G19" s="15">
        <v>0</v>
      </c>
      <c r="H19" s="14">
        <f t="shared" si="0"/>
        <v>475</v>
      </c>
    </row>
    <row r="20" spans="1:8" x14ac:dyDescent="0.35">
      <c r="A20" s="19" t="s">
        <v>53</v>
      </c>
      <c r="B20" s="12">
        <v>10</v>
      </c>
      <c r="C20" s="13" t="s">
        <v>20</v>
      </c>
      <c r="D20" s="14">
        <v>160463</v>
      </c>
      <c r="E20" s="12">
        <v>1000</v>
      </c>
      <c r="F20" s="13" t="s">
        <v>20</v>
      </c>
      <c r="G20" s="15">
        <v>0</v>
      </c>
      <c r="H20" s="14">
        <f t="shared" si="0"/>
        <v>1604.63</v>
      </c>
    </row>
    <row r="21" spans="1:8" x14ac:dyDescent="0.35">
      <c r="A21" s="19" t="s">
        <v>54</v>
      </c>
      <c r="B21" s="12">
        <v>2</v>
      </c>
      <c r="C21" s="13" t="s">
        <v>20</v>
      </c>
      <c r="D21" s="14">
        <v>125000</v>
      </c>
      <c r="E21" s="12">
        <v>1000</v>
      </c>
      <c r="F21" s="13" t="s">
        <v>20</v>
      </c>
      <c r="G21" s="15">
        <v>0</v>
      </c>
      <c r="H21" s="14">
        <f t="shared" si="0"/>
        <v>250</v>
      </c>
    </row>
    <row r="22" spans="1:8" x14ac:dyDescent="0.35">
      <c r="A22" s="19" t="s">
        <v>55</v>
      </c>
      <c r="B22" s="12">
        <v>2</v>
      </c>
      <c r="C22" s="13" t="s">
        <v>20</v>
      </c>
      <c r="D22" s="14">
        <v>250000</v>
      </c>
      <c r="E22" s="12">
        <v>1000</v>
      </c>
      <c r="F22" s="13" t="s">
        <v>20</v>
      </c>
      <c r="G22" s="15">
        <v>0</v>
      </c>
      <c r="H22" s="14">
        <f t="shared" si="0"/>
        <v>500</v>
      </c>
    </row>
    <row r="23" spans="1:8" x14ac:dyDescent="0.35">
      <c r="D23" s="12" t="s">
        <v>31</v>
      </c>
      <c r="E23" s="12"/>
      <c r="F23" s="12"/>
      <c r="G23" s="12"/>
      <c r="H23" s="14">
        <f>SUM(H13:H22)</f>
        <v>67160.88</v>
      </c>
    </row>
    <row r="24" spans="1:8" x14ac:dyDescent="0.35">
      <c r="D24" s="12" t="s">
        <v>32</v>
      </c>
      <c r="E24" s="12"/>
      <c r="F24" s="12"/>
      <c r="G24" s="12"/>
      <c r="H24" s="14">
        <f>H23*0.15</f>
        <v>10074.132</v>
      </c>
    </row>
    <row r="25" spans="1:8" x14ac:dyDescent="0.35">
      <c r="D25" s="12" t="s">
        <v>12</v>
      </c>
      <c r="E25" s="12"/>
      <c r="F25" s="12"/>
      <c r="G25" s="12"/>
      <c r="H25" s="14">
        <f>H23+H24</f>
        <v>77235.012000000002</v>
      </c>
    </row>
    <row r="26" spans="1:8" x14ac:dyDescent="0.35">
      <c r="D26" s="12" t="s">
        <v>33</v>
      </c>
      <c r="E26" s="12"/>
      <c r="F26" s="12"/>
      <c r="G26" s="12"/>
      <c r="H26" s="14">
        <f>H25/H9</f>
        <v>19.308752999999999</v>
      </c>
    </row>
    <row r="27" spans="1:8" x14ac:dyDescent="0.35">
      <c r="D27" s="12" t="s">
        <v>34</v>
      </c>
      <c r="E27" s="12"/>
      <c r="F27" s="12"/>
      <c r="G27" s="12"/>
      <c r="H27" s="16">
        <v>20</v>
      </c>
    </row>
    <row r="28" spans="1:8" x14ac:dyDescent="0.35">
      <c r="D28" s="12" t="s">
        <v>35</v>
      </c>
      <c r="E28" s="12"/>
      <c r="F28" s="12"/>
      <c r="G28" s="12"/>
      <c r="H28" s="15">
        <f>H26/H27</f>
        <v>0.96543764999999993</v>
      </c>
    </row>
    <row r="29" spans="1:8" x14ac:dyDescent="0.35">
      <c r="D29" s="12" t="s">
        <v>36</v>
      </c>
      <c r="E29" s="12"/>
      <c r="F29" s="12"/>
      <c r="G29" s="12"/>
      <c r="H29" s="14">
        <f>H27-H26</f>
        <v>0.69124700000000061</v>
      </c>
    </row>
    <row r="31" spans="1:8" ht="21.5" thickBot="1" x14ac:dyDescent="0.55000000000000004">
      <c r="A31" s="27" t="s">
        <v>0</v>
      </c>
      <c r="B31" s="28"/>
      <c r="C31" s="28"/>
      <c r="D31" s="28"/>
      <c r="E31" s="28"/>
      <c r="F31" s="28"/>
      <c r="G31" s="28"/>
    </row>
    <row r="32" spans="1:8" x14ac:dyDescent="0.35">
      <c r="A32" s="1"/>
      <c r="B32" s="2"/>
      <c r="C32" s="2"/>
      <c r="D32" s="2"/>
      <c r="E32" s="2"/>
      <c r="F32" s="2"/>
      <c r="G32" s="2"/>
      <c r="H32" s="3"/>
    </row>
    <row r="33" spans="1:8" x14ac:dyDescent="0.35">
      <c r="A33" s="4" t="s">
        <v>1</v>
      </c>
      <c r="B33" t="s">
        <v>2</v>
      </c>
      <c r="H33" s="5"/>
    </row>
    <row r="34" spans="1:8" x14ac:dyDescent="0.35">
      <c r="A34" s="4" t="s">
        <v>3</v>
      </c>
      <c r="B34" t="s">
        <v>4</v>
      </c>
      <c r="H34" s="5"/>
    </row>
    <row r="35" spans="1:8" x14ac:dyDescent="0.35">
      <c r="A35" s="4" t="s">
        <v>5</v>
      </c>
      <c r="B35" t="s">
        <v>114</v>
      </c>
      <c r="H35" s="5"/>
    </row>
    <row r="36" spans="1:8" x14ac:dyDescent="0.35">
      <c r="A36" s="4" t="s">
        <v>6</v>
      </c>
      <c r="B36" s="25">
        <v>45782</v>
      </c>
      <c r="H36" s="5"/>
    </row>
    <row r="37" spans="1:8" ht="15" thickBot="1" x14ac:dyDescent="0.4">
      <c r="A37" s="6" t="s">
        <v>7</v>
      </c>
      <c r="B37" s="7"/>
      <c r="C37" s="7"/>
      <c r="D37" s="7"/>
      <c r="E37" s="7"/>
      <c r="F37" s="7"/>
      <c r="G37" s="7"/>
      <c r="H37" s="8"/>
    </row>
    <row r="38" spans="1:8" ht="15" thickBot="1" x14ac:dyDescent="0.4">
      <c r="A38" s="1"/>
      <c r="B38" s="2"/>
      <c r="C38" s="2"/>
      <c r="D38" s="2"/>
      <c r="E38" s="2"/>
      <c r="F38" s="2"/>
      <c r="G38" s="2"/>
      <c r="H38" s="3"/>
    </row>
    <row r="39" spans="1:8" ht="16" thickBot="1" x14ac:dyDescent="0.4">
      <c r="A39" s="9" t="s">
        <v>8</v>
      </c>
      <c r="B39" s="29" t="s">
        <v>9</v>
      </c>
      <c r="C39" s="29"/>
      <c r="D39" s="29"/>
      <c r="E39" s="29"/>
      <c r="F39" s="29"/>
      <c r="G39" s="29"/>
      <c r="H39" s="10">
        <v>10</v>
      </c>
    </row>
    <row r="40" spans="1:8" ht="15.5" x14ac:dyDescent="0.35">
      <c r="A40" s="30" t="s">
        <v>10</v>
      </c>
      <c r="B40" s="32" t="s">
        <v>11</v>
      </c>
      <c r="C40" s="32"/>
      <c r="D40" s="32"/>
      <c r="E40" s="32"/>
      <c r="F40" s="32"/>
      <c r="G40" s="32"/>
      <c r="H40" s="11" t="s">
        <v>12</v>
      </c>
    </row>
    <row r="41" spans="1:8" x14ac:dyDescent="0.35">
      <c r="A41" s="31"/>
      <c r="B41" s="33" t="s">
        <v>13</v>
      </c>
      <c r="C41" s="33" t="s">
        <v>14</v>
      </c>
      <c r="D41" s="33" t="s">
        <v>15</v>
      </c>
      <c r="E41" s="33" t="s">
        <v>16</v>
      </c>
      <c r="F41" s="33" t="s">
        <v>17</v>
      </c>
      <c r="G41" s="33" t="s">
        <v>18</v>
      </c>
      <c r="H41" s="26" t="s">
        <v>19</v>
      </c>
    </row>
    <row r="42" spans="1:8" x14ac:dyDescent="0.35">
      <c r="A42" s="31"/>
      <c r="B42" s="33"/>
      <c r="C42" s="33"/>
      <c r="D42" s="33"/>
      <c r="E42" s="33"/>
      <c r="F42" s="33"/>
      <c r="G42" s="33"/>
      <c r="H42" s="26"/>
    </row>
    <row r="43" spans="1:8" x14ac:dyDescent="0.35">
      <c r="A43" s="12" t="s">
        <v>50</v>
      </c>
      <c r="B43" s="12">
        <v>50</v>
      </c>
      <c r="C43" s="13" t="s">
        <v>20</v>
      </c>
      <c r="D43" s="14">
        <v>1100000</v>
      </c>
      <c r="E43" s="12">
        <v>5000</v>
      </c>
      <c r="F43" s="13" t="s">
        <v>20</v>
      </c>
      <c r="G43" s="15">
        <v>0</v>
      </c>
      <c r="H43" s="14">
        <f>IF(B43&gt;0,(D43+(D43*G43))*B43/E43,0)</f>
        <v>11000</v>
      </c>
    </row>
    <row r="44" spans="1:8" x14ac:dyDescent="0.35">
      <c r="A44" s="19" t="s">
        <v>48</v>
      </c>
      <c r="B44" s="12">
        <v>100</v>
      </c>
      <c r="C44" s="13" t="s">
        <v>20</v>
      </c>
      <c r="D44" s="14">
        <v>35000</v>
      </c>
      <c r="E44" s="12">
        <v>1000</v>
      </c>
      <c r="F44" s="13" t="s">
        <v>20</v>
      </c>
      <c r="G44" s="15">
        <v>0</v>
      </c>
      <c r="H44" s="14">
        <f t="shared" ref="H44:H58" si="1">IF(B44&gt;0,(D44+(D44*G44))*B44/E44,0)</f>
        <v>3500</v>
      </c>
    </row>
    <row r="45" spans="1:8" x14ac:dyDescent="0.35">
      <c r="A45" s="19" t="s">
        <v>57</v>
      </c>
      <c r="B45" s="12">
        <v>100</v>
      </c>
      <c r="C45" s="13" t="s">
        <v>20</v>
      </c>
      <c r="D45" s="14">
        <v>45000</v>
      </c>
      <c r="E45" s="12">
        <v>1000</v>
      </c>
      <c r="F45" s="13" t="s">
        <v>20</v>
      </c>
      <c r="G45" s="15">
        <v>0</v>
      </c>
      <c r="H45" s="14">
        <f t="shared" si="1"/>
        <v>4500</v>
      </c>
    </row>
    <row r="46" spans="1:8" x14ac:dyDescent="0.35">
      <c r="A46" s="19" t="s">
        <v>49</v>
      </c>
      <c r="B46" s="12">
        <v>100</v>
      </c>
      <c r="C46" s="13" t="s">
        <v>20</v>
      </c>
      <c r="D46" s="14">
        <v>25000</v>
      </c>
      <c r="E46" s="12">
        <v>1000</v>
      </c>
      <c r="F46" s="13" t="s">
        <v>20</v>
      </c>
      <c r="G46" s="15">
        <v>0</v>
      </c>
      <c r="H46" s="14">
        <f t="shared" si="1"/>
        <v>2500</v>
      </c>
    </row>
    <row r="47" spans="1:8" x14ac:dyDescent="0.35">
      <c r="A47" s="19" t="s">
        <v>115</v>
      </c>
      <c r="B47" s="12">
        <v>100</v>
      </c>
      <c r="C47" s="13" t="s">
        <v>20</v>
      </c>
      <c r="D47" s="14">
        <v>20000</v>
      </c>
      <c r="E47" s="12">
        <v>1000</v>
      </c>
      <c r="F47" s="13" t="s">
        <v>20</v>
      </c>
      <c r="G47" s="15">
        <v>0</v>
      </c>
      <c r="H47" s="14">
        <f t="shared" si="1"/>
        <v>2000</v>
      </c>
    </row>
    <row r="48" spans="1:8" x14ac:dyDescent="0.35">
      <c r="A48" s="19" t="s">
        <v>40</v>
      </c>
      <c r="B48" s="12">
        <v>50</v>
      </c>
      <c r="C48" s="13" t="s">
        <v>20</v>
      </c>
      <c r="D48" s="14">
        <v>50000</v>
      </c>
      <c r="E48" s="12">
        <v>1000</v>
      </c>
      <c r="F48" s="13" t="s">
        <v>20</v>
      </c>
      <c r="G48" s="15">
        <v>0</v>
      </c>
      <c r="H48" s="14">
        <f t="shared" si="1"/>
        <v>2500</v>
      </c>
    </row>
    <row r="49" spans="1:8" x14ac:dyDescent="0.35">
      <c r="A49" s="19" t="s">
        <v>116</v>
      </c>
      <c r="B49" s="12">
        <v>200</v>
      </c>
      <c r="C49" s="13" t="s">
        <v>20</v>
      </c>
      <c r="D49" s="14">
        <v>25000</v>
      </c>
      <c r="E49" s="12">
        <v>1000</v>
      </c>
      <c r="F49" s="13" t="s">
        <v>20</v>
      </c>
      <c r="G49" s="15">
        <v>0</v>
      </c>
      <c r="H49" s="14">
        <f t="shared" si="1"/>
        <v>5000</v>
      </c>
    </row>
    <row r="50" spans="1:8" x14ac:dyDescent="0.35">
      <c r="A50" s="19" t="s">
        <v>74</v>
      </c>
      <c r="B50" s="12">
        <v>100</v>
      </c>
      <c r="C50" s="13" t="s">
        <v>20</v>
      </c>
      <c r="D50" s="14">
        <v>24980</v>
      </c>
      <c r="E50" s="12">
        <v>1000</v>
      </c>
      <c r="F50" s="13" t="s">
        <v>20</v>
      </c>
      <c r="G50" s="15">
        <v>0</v>
      </c>
      <c r="H50" s="14">
        <f t="shared" si="1"/>
        <v>2498</v>
      </c>
    </row>
    <row r="51" spans="1:8" x14ac:dyDescent="0.35">
      <c r="A51" s="19" t="s">
        <v>117</v>
      </c>
      <c r="B51" s="12">
        <v>300</v>
      </c>
      <c r="C51" s="13" t="s">
        <v>20</v>
      </c>
      <c r="D51" s="14">
        <v>222600</v>
      </c>
      <c r="E51" s="12">
        <v>1000</v>
      </c>
      <c r="F51" s="13" t="s">
        <v>20</v>
      </c>
      <c r="G51" s="15">
        <v>0</v>
      </c>
      <c r="H51" s="14">
        <f t="shared" si="1"/>
        <v>66780</v>
      </c>
    </row>
    <row r="52" spans="1:8" x14ac:dyDescent="0.35">
      <c r="A52" s="19" t="s">
        <v>46</v>
      </c>
      <c r="B52" s="12">
        <v>2500</v>
      </c>
      <c r="C52" s="13" t="s">
        <v>26</v>
      </c>
      <c r="D52" s="14">
        <v>20</v>
      </c>
      <c r="E52" s="12">
        <v>1</v>
      </c>
      <c r="F52" s="13" t="s">
        <v>26</v>
      </c>
      <c r="G52" s="15">
        <v>0</v>
      </c>
      <c r="H52" s="14">
        <f t="shared" si="1"/>
        <v>50000</v>
      </c>
    </row>
    <row r="53" spans="1:8" x14ac:dyDescent="0.35">
      <c r="A53" s="19" t="s">
        <v>60</v>
      </c>
      <c r="B53" s="12">
        <v>25</v>
      </c>
      <c r="C53" s="13" t="s">
        <v>20</v>
      </c>
      <c r="D53" s="14">
        <v>28080</v>
      </c>
      <c r="E53" s="12">
        <v>1000</v>
      </c>
      <c r="F53" s="13" t="s">
        <v>20</v>
      </c>
      <c r="G53" s="15">
        <v>0</v>
      </c>
      <c r="H53" s="14">
        <f t="shared" si="1"/>
        <v>702</v>
      </c>
    </row>
    <row r="54" spans="1:8" x14ac:dyDescent="0.35">
      <c r="A54" s="19" t="s">
        <v>89</v>
      </c>
      <c r="B54" s="12">
        <v>10</v>
      </c>
      <c r="C54" s="13" t="s">
        <v>20</v>
      </c>
      <c r="D54" s="14">
        <v>125000</v>
      </c>
      <c r="E54" s="12">
        <v>1000</v>
      </c>
      <c r="F54" s="13" t="s">
        <v>20</v>
      </c>
      <c r="G54" s="15">
        <v>0</v>
      </c>
      <c r="H54" s="14">
        <f t="shared" si="1"/>
        <v>1250</v>
      </c>
    </row>
    <row r="55" spans="1:8" x14ac:dyDescent="0.35">
      <c r="A55" s="19" t="s">
        <v>44</v>
      </c>
      <c r="B55" s="12">
        <v>100</v>
      </c>
      <c r="C55" s="13" t="s">
        <v>26</v>
      </c>
      <c r="D55" s="14">
        <v>154072</v>
      </c>
      <c r="E55" s="12">
        <v>1000</v>
      </c>
      <c r="F55" s="13" t="s">
        <v>26</v>
      </c>
      <c r="G55" s="15">
        <v>0</v>
      </c>
      <c r="H55" s="14">
        <f t="shared" si="1"/>
        <v>15407.2</v>
      </c>
    </row>
    <row r="56" spans="1:8" x14ac:dyDescent="0.35">
      <c r="A56" s="19" t="s">
        <v>70</v>
      </c>
      <c r="B56" s="12">
        <v>15</v>
      </c>
      <c r="C56" s="13" t="s">
        <v>20</v>
      </c>
      <c r="D56" s="14">
        <v>343750</v>
      </c>
      <c r="E56" s="12">
        <v>1000</v>
      </c>
      <c r="F56" s="13" t="s">
        <v>20</v>
      </c>
      <c r="G56" s="15">
        <v>0</v>
      </c>
      <c r="H56" s="14">
        <f t="shared" si="1"/>
        <v>5156.25</v>
      </c>
    </row>
    <row r="57" spans="1:8" x14ac:dyDescent="0.35">
      <c r="A57" s="19" t="s">
        <v>29</v>
      </c>
      <c r="B57" s="12">
        <v>20</v>
      </c>
      <c r="C57" s="13" t="s">
        <v>20</v>
      </c>
      <c r="D57" s="14">
        <v>9000</v>
      </c>
      <c r="E57" s="12">
        <v>1000</v>
      </c>
      <c r="F57" s="13" t="s">
        <v>20</v>
      </c>
      <c r="G57" s="15">
        <v>0</v>
      </c>
      <c r="H57" s="14">
        <f t="shared" si="1"/>
        <v>180</v>
      </c>
    </row>
    <row r="58" spans="1:8" x14ac:dyDescent="0.35">
      <c r="A58" s="19" t="s">
        <v>30</v>
      </c>
      <c r="B58" s="12">
        <v>20</v>
      </c>
      <c r="C58" s="13" t="s">
        <v>20</v>
      </c>
      <c r="D58" s="14">
        <v>45000</v>
      </c>
      <c r="E58" s="12">
        <v>1000</v>
      </c>
      <c r="F58" s="13" t="s">
        <v>20</v>
      </c>
      <c r="G58" s="15">
        <v>0</v>
      </c>
      <c r="H58" s="14">
        <f t="shared" si="1"/>
        <v>900</v>
      </c>
    </row>
    <row r="59" spans="1:8" x14ac:dyDescent="0.35">
      <c r="D59" s="12" t="s">
        <v>31</v>
      </c>
      <c r="E59" s="12"/>
      <c r="F59" s="12"/>
      <c r="G59" s="12"/>
      <c r="H59" s="14">
        <f>SUM(H43:H58)</f>
        <v>173873.45</v>
      </c>
    </row>
    <row r="60" spans="1:8" x14ac:dyDescent="0.35">
      <c r="D60" s="12" t="s">
        <v>32</v>
      </c>
      <c r="E60" s="12"/>
      <c r="F60" s="12"/>
      <c r="G60" s="12"/>
      <c r="H60" s="14">
        <f>H59*0.15</f>
        <v>26081.017500000002</v>
      </c>
    </row>
    <row r="61" spans="1:8" x14ac:dyDescent="0.35">
      <c r="D61" s="12" t="s">
        <v>12</v>
      </c>
      <c r="E61" s="12"/>
      <c r="F61" s="12"/>
      <c r="G61" s="12"/>
      <c r="H61" s="14">
        <f>H59+H60</f>
        <v>199954.46750000003</v>
      </c>
    </row>
    <row r="62" spans="1:8" x14ac:dyDescent="0.35">
      <c r="D62" s="12" t="s">
        <v>33</v>
      </c>
      <c r="E62" s="12"/>
      <c r="F62" s="12"/>
      <c r="G62" s="12"/>
      <c r="H62" s="14">
        <f>H61/H39</f>
        <v>19995.446750000003</v>
      </c>
    </row>
    <row r="63" spans="1:8" x14ac:dyDescent="0.35">
      <c r="D63" s="12" t="s">
        <v>34</v>
      </c>
      <c r="E63" s="12"/>
      <c r="F63" s="12"/>
      <c r="G63" s="12"/>
      <c r="H63" s="16">
        <v>60000</v>
      </c>
    </row>
    <row r="64" spans="1:8" x14ac:dyDescent="0.35">
      <c r="D64" s="12" t="s">
        <v>35</v>
      </c>
      <c r="E64" s="12"/>
      <c r="F64" s="12"/>
      <c r="G64" s="12"/>
      <c r="H64" s="15">
        <f>H62/H63</f>
        <v>0.33325744583333339</v>
      </c>
    </row>
    <row r="65" spans="4:8" x14ac:dyDescent="0.35">
      <c r="D65" s="12" t="s">
        <v>36</v>
      </c>
      <c r="E65" s="12"/>
      <c r="F65" s="12"/>
      <c r="G65" s="12"/>
      <c r="H65" s="14">
        <f>H63-H62</f>
        <v>40004.553249999997</v>
      </c>
    </row>
  </sheetData>
  <mergeCells count="22">
    <mergeCell ref="H41:H42"/>
    <mergeCell ref="A31:G31"/>
    <mergeCell ref="B39:G39"/>
    <mergeCell ref="A40:A42"/>
    <mergeCell ref="B40:G40"/>
    <mergeCell ref="B41:B42"/>
    <mergeCell ref="C41:C42"/>
    <mergeCell ref="D41:D42"/>
    <mergeCell ref="E41:E42"/>
    <mergeCell ref="F41:F42"/>
    <mergeCell ref="G41:G42"/>
    <mergeCell ref="H11:H12"/>
    <mergeCell ref="A1:G1"/>
    <mergeCell ref="B9:G9"/>
    <mergeCell ref="A10:A12"/>
    <mergeCell ref="B10:G10"/>
    <mergeCell ref="B11:B12"/>
    <mergeCell ref="C11:C12"/>
    <mergeCell ref="D11:D12"/>
    <mergeCell ref="E11:E12"/>
    <mergeCell ref="F11:F12"/>
    <mergeCell ref="G11:G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99BC6-CBDE-489E-BD39-4D0173D7129F}">
  <dimension ref="A1:H111"/>
  <sheetViews>
    <sheetView topLeftCell="A49" workbookViewId="0">
      <selection activeCell="H110" sqref="H110"/>
    </sheetView>
  </sheetViews>
  <sheetFormatPr defaultRowHeight="14.5" x14ac:dyDescent="0.35"/>
  <cols>
    <col min="1" max="8" width="18.36328125" customWidth="1"/>
  </cols>
  <sheetData>
    <row r="1" spans="1:8" ht="21.5" thickBot="1" x14ac:dyDescent="0.55000000000000004">
      <c r="A1" s="27" t="s">
        <v>0</v>
      </c>
      <c r="B1" s="28"/>
      <c r="C1" s="28"/>
      <c r="D1" s="28"/>
      <c r="E1" s="28"/>
      <c r="F1" s="28"/>
      <c r="G1" s="28"/>
    </row>
    <row r="2" spans="1:8" x14ac:dyDescent="0.35">
      <c r="A2" s="1"/>
      <c r="B2" s="2"/>
      <c r="C2" s="2"/>
      <c r="D2" s="2"/>
      <c r="E2" s="2"/>
      <c r="F2" s="2"/>
      <c r="G2" s="2"/>
      <c r="H2" s="3"/>
    </row>
    <row r="3" spans="1:8" x14ac:dyDescent="0.35">
      <c r="A3" s="4" t="s">
        <v>1</v>
      </c>
      <c r="B3" t="s">
        <v>2</v>
      </c>
      <c r="H3" s="5"/>
    </row>
    <row r="4" spans="1:8" x14ac:dyDescent="0.35">
      <c r="A4" s="4" t="s">
        <v>3</v>
      </c>
      <c r="B4" t="s">
        <v>4</v>
      </c>
      <c r="H4" s="5"/>
    </row>
    <row r="5" spans="1:8" x14ac:dyDescent="0.35">
      <c r="A5" s="4" t="s">
        <v>5</v>
      </c>
      <c r="B5" t="s">
        <v>118</v>
      </c>
      <c r="H5" s="5"/>
    </row>
    <row r="6" spans="1:8" x14ac:dyDescent="0.35">
      <c r="A6" s="4" t="s">
        <v>6</v>
      </c>
      <c r="B6" s="25">
        <v>45813</v>
      </c>
      <c r="H6" s="5"/>
    </row>
    <row r="7" spans="1:8" ht="15" thickBot="1" x14ac:dyDescent="0.4">
      <c r="A7" s="6" t="s">
        <v>7</v>
      </c>
      <c r="B7" s="7"/>
      <c r="C7" s="7"/>
      <c r="D7" s="7"/>
      <c r="E7" s="7"/>
      <c r="F7" s="7"/>
      <c r="G7" s="7"/>
      <c r="H7" s="8"/>
    </row>
    <row r="8" spans="1:8" ht="15" thickBot="1" x14ac:dyDescent="0.4">
      <c r="A8" s="1"/>
      <c r="B8" s="2"/>
      <c r="C8" s="2"/>
      <c r="D8" s="2"/>
      <c r="E8" s="2"/>
      <c r="F8" s="2"/>
      <c r="G8" s="2"/>
      <c r="H8" s="3"/>
    </row>
    <row r="9" spans="1:8" ht="16" thickBot="1" x14ac:dyDescent="0.4">
      <c r="A9" s="9" t="s">
        <v>8</v>
      </c>
      <c r="B9" s="29" t="s">
        <v>9</v>
      </c>
      <c r="C9" s="29"/>
      <c r="D9" s="29"/>
      <c r="E9" s="29"/>
      <c r="F9" s="29"/>
      <c r="G9" s="29"/>
      <c r="H9" s="10">
        <v>10</v>
      </c>
    </row>
    <row r="10" spans="1:8" ht="15.5" customHeight="1" x14ac:dyDescent="0.35">
      <c r="A10" s="30" t="s">
        <v>10</v>
      </c>
      <c r="B10" s="32" t="s">
        <v>11</v>
      </c>
      <c r="C10" s="32"/>
      <c r="D10" s="32"/>
      <c r="E10" s="32"/>
      <c r="F10" s="32"/>
      <c r="G10" s="32"/>
      <c r="H10" s="11" t="s">
        <v>12</v>
      </c>
    </row>
    <row r="11" spans="1:8" ht="14.5" customHeight="1" x14ac:dyDescent="0.35">
      <c r="A11" s="31"/>
      <c r="B11" s="33" t="s">
        <v>13</v>
      </c>
      <c r="C11" s="33" t="s">
        <v>14</v>
      </c>
      <c r="D11" s="33" t="s">
        <v>15</v>
      </c>
      <c r="E11" s="33" t="s">
        <v>16</v>
      </c>
      <c r="F11" s="33" t="s">
        <v>17</v>
      </c>
      <c r="G11" s="33" t="s">
        <v>18</v>
      </c>
      <c r="H11" s="26" t="s">
        <v>19</v>
      </c>
    </row>
    <row r="12" spans="1:8" ht="14.5" customHeight="1" x14ac:dyDescent="0.35">
      <c r="A12" s="31"/>
      <c r="B12" s="33"/>
      <c r="C12" s="33"/>
      <c r="D12" s="33"/>
      <c r="E12" s="33"/>
      <c r="F12" s="33"/>
      <c r="G12" s="33"/>
      <c r="H12" s="26"/>
    </row>
    <row r="13" spans="1:8" x14ac:dyDescent="0.35">
      <c r="A13" s="12" t="s">
        <v>119</v>
      </c>
      <c r="B13" s="12">
        <v>1200</v>
      </c>
      <c r="C13" s="13" t="s">
        <v>20</v>
      </c>
      <c r="D13" s="14">
        <v>13368</v>
      </c>
      <c r="E13" s="12">
        <v>1000</v>
      </c>
      <c r="F13" s="13" t="s">
        <v>20</v>
      </c>
      <c r="G13" s="15">
        <v>0</v>
      </c>
      <c r="H13" s="14">
        <f>IF(B13&gt;0,(D13+(D13*G13))*B13/E13,0)</f>
        <v>16041.6</v>
      </c>
    </row>
    <row r="14" spans="1:8" x14ac:dyDescent="0.35">
      <c r="A14" s="19" t="s">
        <v>29</v>
      </c>
      <c r="B14" s="12">
        <v>30</v>
      </c>
      <c r="C14" s="13" t="s">
        <v>20</v>
      </c>
      <c r="D14" s="14">
        <v>9000</v>
      </c>
      <c r="E14" s="12">
        <v>1000</v>
      </c>
      <c r="F14" s="13" t="s">
        <v>20</v>
      </c>
      <c r="G14" s="15">
        <v>0</v>
      </c>
      <c r="H14" s="14">
        <f t="shared" ref="H14:H16" si="0">IF(B14&gt;0,(D14+(D14*G14))*B14/E14,0)</f>
        <v>270</v>
      </c>
    </row>
    <row r="15" spans="1:8" x14ac:dyDescent="0.35">
      <c r="A15" s="19" t="s">
        <v>30</v>
      </c>
      <c r="B15" s="12">
        <v>30</v>
      </c>
      <c r="C15" s="13" t="s">
        <v>20</v>
      </c>
      <c r="D15" s="14">
        <v>45000</v>
      </c>
      <c r="E15" s="12">
        <v>1000</v>
      </c>
      <c r="F15" s="13" t="s">
        <v>20</v>
      </c>
      <c r="G15" s="15">
        <v>0</v>
      </c>
      <c r="H15" s="14">
        <f t="shared" si="0"/>
        <v>1350</v>
      </c>
    </row>
    <row r="16" spans="1:8" x14ac:dyDescent="0.35">
      <c r="A16" s="19" t="s">
        <v>120</v>
      </c>
      <c r="B16" s="12">
        <v>100</v>
      </c>
      <c r="C16" s="13" t="s">
        <v>26</v>
      </c>
      <c r="D16" s="14">
        <v>185000</v>
      </c>
      <c r="E16" s="12">
        <v>3000</v>
      </c>
      <c r="F16" s="13" t="s">
        <v>26</v>
      </c>
      <c r="G16" s="15">
        <v>0</v>
      </c>
      <c r="H16" s="14">
        <f t="shared" si="0"/>
        <v>6166.666666666667</v>
      </c>
    </row>
    <row r="17" spans="1:8" x14ac:dyDescent="0.35">
      <c r="D17" s="12" t="s">
        <v>31</v>
      </c>
      <c r="E17" s="12"/>
      <c r="F17" s="12"/>
      <c r="G17" s="12"/>
      <c r="H17" s="14">
        <f>SUM(H13:H16)</f>
        <v>23828.266666666666</v>
      </c>
    </row>
    <row r="18" spans="1:8" x14ac:dyDescent="0.35">
      <c r="D18" s="12" t="s">
        <v>32</v>
      </c>
      <c r="E18" s="12"/>
      <c r="F18" s="12"/>
      <c r="G18" s="12"/>
      <c r="H18" s="14">
        <f>H17*0.15</f>
        <v>3574.24</v>
      </c>
    </row>
    <row r="19" spans="1:8" x14ac:dyDescent="0.35">
      <c r="D19" s="12" t="s">
        <v>12</v>
      </c>
      <c r="E19" s="12"/>
      <c r="F19" s="12"/>
      <c r="G19" s="12"/>
      <c r="H19" s="14">
        <f>H17+H18</f>
        <v>27402.506666666668</v>
      </c>
    </row>
    <row r="20" spans="1:8" x14ac:dyDescent="0.35">
      <c r="D20" s="12" t="s">
        <v>33</v>
      </c>
      <c r="E20" s="12"/>
      <c r="F20" s="12"/>
      <c r="G20" s="12"/>
      <c r="H20" s="14">
        <f>H19/H9</f>
        <v>2740.2506666666668</v>
      </c>
    </row>
    <row r="21" spans="1:8" x14ac:dyDescent="0.35">
      <c r="D21" s="12" t="s">
        <v>34</v>
      </c>
      <c r="E21" s="12"/>
      <c r="F21" s="12"/>
      <c r="G21" s="12"/>
      <c r="H21" s="16">
        <v>2740</v>
      </c>
    </row>
    <row r="22" spans="1:8" x14ac:dyDescent="0.35">
      <c r="D22" s="12" t="s">
        <v>35</v>
      </c>
      <c r="E22" s="12"/>
      <c r="F22" s="12"/>
      <c r="G22" s="12"/>
      <c r="H22" s="15">
        <f>H20/H21</f>
        <v>1.0000914841849149</v>
      </c>
    </row>
    <row r="23" spans="1:8" x14ac:dyDescent="0.35">
      <c r="D23" s="12" t="s">
        <v>36</v>
      </c>
      <c r="E23" s="12"/>
      <c r="F23" s="12"/>
      <c r="G23" s="12"/>
      <c r="H23" s="14">
        <f>H21-H20</f>
        <v>-0.25066666666680248</v>
      </c>
    </row>
    <row r="25" spans="1:8" ht="21.5" thickBot="1" x14ac:dyDescent="0.55000000000000004">
      <c r="A25" s="27" t="s">
        <v>0</v>
      </c>
      <c r="B25" s="28"/>
      <c r="C25" s="28"/>
      <c r="D25" s="28"/>
      <c r="E25" s="28"/>
      <c r="F25" s="28"/>
      <c r="G25" s="28"/>
    </row>
    <row r="26" spans="1:8" x14ac:dyDescent="0.35">
      <c r="A26" s="1"/>
      <c r="B26" s="2"/>
      <c r="C26" s="2"/>
      <c r="D26" s="2"/>
      <c r="E26" s="2"/>
      <c r="F26" s="2"/>
      <c r="G26" s="2"/>
      <c r="H26" s="3"/>
    </row>
    <row r="27" spans="1:8" x14ac:dyDescent="0.35">
      <c r="A27" s="4" t="s">
        <v>1</v>
      </c>
      <c r="B27" t="s">
        <v>2</v>
      </c>
      <c r="H27" s="5"/>
    </row>
    <row r="28" spans="1:8" x14ac:dyDescent="0.35">
      <c r="A28" s="4" t="s">
        <v>3</v>
      </c>
      <c r="B28" t="s">
        <v>4</v>
      </c>
      <c r="H28" s="5"/>
    </row>
    <row r="29" spans="1:8" x14ac:dyDescent="0.35">
      <c r="A29" s="4" t="s">
        <v>5</v>
      </c>
      <c r="B29" t="s">
        <v>121</v>
      </c>
      <c r="H29" s="5"/>
    </row>
    <row r="30" spans="1:8" x14ac:dyDescent="0.35">
      <c r="A30" s="4" t="s">
        <v>6</v>
      </c>
      <c r="B30" s="25">
        <v>45813</v>
      </c>
      <c r="H30" s="5"/>
    </row>
    <row r="31" spans="1:8" ht="15" thickBot="1" x14ac:dyDescent="0.4">
      <c r="A31" s="6" t="s">
        <v>7</v>
      </c>
      <c r="B31" s="7"/>
      <c r="C31" s="7"/>
      <c r="D31" s="7"/>
      <c r="E31" s="7"/>
      <c r="F31" s="7"/>
      <c r="G31" s="7"/>
      <c r="H31" s="8"/>
    </row>
    <row r="32" spans="1:8" ht="15" thickBot="1" x14ac:dyDescent="0.4">
      <c r="A32" s="1"/>
      <c r="B32" s="2"/>
      <c r="C32" s="2"/>
      <c r="D32" s="2"/>
      <c r="E32" s="2"/>
      <c r="F32" s="2"/>
      <c r="G32" s="2"/>
      <c r="H32" s="3"/>
    </row>
    <row r="33" spans="1:8" ht="16" thickBot="1" x14ac:dyDescent="0.4">
      <c r="A33" s="9" t="s">
        <v>8</v>
      </c>
      <c r="B33" s="29" t="s">
        <v>9</v>
      </c>
      <c r="C33" s="29"/>
      <c r="D33" s="29"/>
      <c r="E33" s="29"/>
      <c r="F33" s="29"/>
      <c r="G33" s="29"/>
      <c r="H33" s="10">
        <v>10</v>
      </c>
    </row>
    <row r="34" spans="1:8" ht="15.5" x14ac:dyDescent="0.35">
      <c r="A34" s="30" t="s">
        <v>10</v>
      </c>
      <c r="B34" s="32" t="s">
        <v>11</v>
      </c>
      <c r="C34" s="32"/>
      <c r="D34" s="32"/>
      <c r="E34" s="32"/>
      <c r="F34" s="32"/>
      <c r="G34" s="32"/>
      <c r="H34" s="11" t="s">
        <v>12</v>
      </c>
    </row>
    <row r="35" spans="1:8" x14ac:dyDescent="0.35">
      <c r="A35" s="31"/>
      <c r="B35" s="33" t="s">
        <v>13</v>
      </c>
      <c r="C35" s="33" t="s">
        <v>14</v>
      </c>
      <c r="D35" s="33" t="s">
        <v>15</v>
      </c>
      <c r="E35" s="33" t="s">
        <v>16</v>
      </c>
      <c r="F35" s="33" t="s">
        <v>17</v>
      </c>
      <c r="G35" s="33" t="s">
        <v>18</v>
      </c>
      <c r="H35" s="26" t="s">
        <v>19</v>
      </c>
    </row>
    <row r="36" spans="1:8" x14ac:dyDescent="0.35">
      <c r="A36" s="31"/>
      <c r="B36" s="33"/>
      <c r="C36" s="33"/>
      <c r="D36" s="33"/>
      <c r="E36" s="33"/>
      <c r="F36" s="33"/>
      <c r="G36" s="33"/>
      <c r="H36" s="26"/>
    </row>
    <row r="37" spans="1:8" x14ac:dyDescent="0.35">
      <c r="A37" s="12" t="s">
        <v>49</v>
      </c>
      <c r="B37" s="12">
        <v>300</v>
      </c>
      <c r="C37" s="13" t="s">
        <v>20</v>
      </c>
      <c r="D37" s="14">
        <v>25000</v>
      </c>
      <c r="E37" s="12">
        <v>1000</v>
      </c>
      <c r="F37" s="13" t="s">
        <v>20</v>
      </c>
      <c r="G37" s="15">
        <v>0</v>
      </c>
      <c r="H37" s="14">
        <f>IF(B37&gt;0,(D37+(D37*G37))*B37/E37,0)</f>
        <v>7500</v>
      </c>
    </row>
    <row r="38" spans="1:8" x14ac:dyDescent="0.35">
      <c r="A38" s="19" t="s">
        <v>115</v>
      </c>
      <c r="B38" s="12">
        <v>300</v>
      </c>
      <c r="C38" s="13" t="s">
        <v>20</v>
      </c>
      <c r="D38" s="14">
        <v>20000</v>
      </c>
      <c r="E38" s="12">
        <v>1000</v>
      </c>
      <c r="F38" s="13" t="s">
        <v>20</v>
      </c>
      <c r="G38" s="15">
        <v>0</v>
      </c>
      <c r="H38" s="14">
        <f t="shared" ref="H38:H44" si="1">IF(B38&gt;0,(D38+(D38*G38))*B38/E38,0)</f>
        <v>6000</v>
      </c>
    </row>
    <row r="39" spans="1:8" x14ac:dyDescent="0.35">
      <c r="A39" s="19" t="s">
        <v>122</v>
      </c>
      <c r="B39" s="12">
        <v>300</v>
      </c>
      <c r="C39" s="13" t="s">
        <v>20</v>
      </c>
      <c r="D39" s="14">
        <v>19587</v>
      </c>
      <c r="E39" s="12">
        <v>1000</v>
      </c>
      <c r="F39" s="13" t="s">
        <v>20</v>
      </c>
      <c r="G39" s="15">
        <v>0</v>
      </c>
      <c r="H39" s="14">
        <f t="shared" si="1"/>
        <v>5876.1</v>
      </c>
    </row>
    <row r="40" spans="1:8" x14ac:dyDescent="0.35">
      <c r="A40" s="19" t="s">
        <v>123</v>
      </c>
      <c r="B40" s="12">
        <v>150</v>
      </c>
      <c r="C40" s="13" t="s">
        <v>20</v>
      </c>
      <c r="D40" s="14">
        <v>24184</v>
      </c>
      <c r="E40" s="12">
        <v>1000</v>
      </c>
      <c r="F40" s="13" t="s">
        <v>20</v>
      </c>
      <c r="G40" s="15">
        <v>0</v>
      </c>
      <c r="H40" s="14">
        <f t="shared" si="1"/>
        <v>3627.6</v>
      </c>
    </row>
    <row r="41" spans="1:8" x14ac:dyDescent="0.35">
      <c r="A41" s="19" t="s">
        <v>50</v>
      </c>
      <c r="B41" s="12">
        <v>50</v>
      </c>
      <c r="C41" s="13" t="s">
        <v>20</v>
      </c>
      <c r="D41" s="14">
        <v>1100000</v>
      </c>
      <c r="E41" s="12">
        <v>5000</v>
      </c>
      <c r="F41" s="13" t="s">
        <v>20</v>
      </c>
      <c r="G41" s="15">
        <v>0</v>
      </c>
      <c r="H41" s="14">
        <f t="shared" si="1"/>
        <v>11000</v>
      </c>
    </row>
    <row r="42" spans="1:8" x14ac:dyDescent="0.35">
      <c r="A42" s="19" t="s">
        <v>89</v>
      </c>
      <c r="B42" s="12">
        <v>10</v>
      </c>
      <c r="C42" s="13" t="s">
        <v>20</v>
      </c>
      <c r="D42" s="14">
        <v>125000</v>
      </c>
      <c r="E42" s="12">
        <v>1000</v>
      </c>
      <c r="F42" s="13" t="s">
        <v>20</v>
      </c>
      <c r="G42" s="15">
        <v>0</v>
      </c>
      <c r="H42" s="14">
        <f t="shared" si="1"/>
        <v>1250</v>
      </c>
    </row>
    <row r="43" spans="1:8" x14ac:dyDescent="0.35">
      <c r="A43" s="19" t="s">
        <v>124</v>
      </c>
      <c r="B43" s="12">
        <v>10</v>
      </c>
      <c r="C43" s="13" t="s">
        <v>20</v>
      </c>
      <c r="D43" s="14">
        <v>9000</v>
      </c>
      <c r="E43" s="12">
        <v>1000</v>
      </c>
      <c r="F43" s="13" t="s">
        <v>20</v>
      </c>
      <c r="G43" s="15">
        <v>0</v>
      </c>
      <c r="H43" s="14">
        <f t="shared" si="1"/>
        <v>90</v>
      </c>
    </row>
    <row r="44" spans="1:8" x14ac:dyDescent="0.35">
      <c r="A44" s="19" t="s">
        <v>30</v>
      </c>
      <c r="B44" s="12">
        <v>10</v>
      </c>
      <c r="C44" s="13" t="s">
        <v>20</v>
      </c>
      <c r="D44" s="14">
        <v>45000</v>
      </c>
      <c r="E44" s="12">
        <v>1000</v>
      </c>
      <c r="F44" s="13" t="s">
        <v>20</v>
      </c>
      <c r="G44" s="15">
        <v>0</v>
      </c>
      <c r="H44" s="14">
        <f t="shared" si="1"/>
        <v>450</v>
      </c>
    </row>
    <row r="45" spans="1:8" x14ac:dyDescent="0.35">
      <c r="D45" s="12" t="s">
        <v>31</v>
      </c>
      <c r="E45" s="12"/>
      <c r="F45" s="12"/>
      <c r="G45" s="12"/>
      <c r="H45" s="14">
        <f>SUM(H37:H44)</f>
        <v>35793.699999999997</v>
      </c>
    </row>
    <row r="46" spans="1:8" x14ac:dyDescent="0.35">
      <c r="D46" s="12" t="s">
        <v>32</v>
      </c>
      <c r="E46" s="12"/>
      <c r="F46" s="12"/>
      <c r="G46" s="12"/>
      <c r="H46" s="14">
        <f>H45*0.15</f>
        <v>5369.0549999999994</v>
      </c>
    </row>
    <row r="47" spans="1:8" x14ac:dyDescent="0.35">
      <c r="D47" s="12" t="s">
        <v>12</v>
      </c>
      <c r="E47" s="12"/>
      <c r="F47" s="12"/>
      <c r="G47" s="12"/>
      <c r="H47" s="14">
        <f>H45+H46</f>
        <v>41162.754999999997</v>
      </c>
    </row>
    <row r="48" spans="1:8" x14ac:dyDescent="0.35">
      <c r="D48" s="12" t="s">
        <v>33</v>
      </c>
      <c r="E48" s="12"/>
      <c r="F48" s="12"/>
      <c r="G48" s="12"/>
      <c r="H48" s="14">
        <f>H47/H33</f>
        <v>4116.2754999999997</v>
      </c>
    </row>
    <row r="49" spans="1:8" x14ac:dyDescent="0.35">
      <c r="D49" s="12" t="s">
        <v>34</v>
      </c>
      <c r="E49" s="12"/>
      <c r="F49" s="12"/>
      <c r="G49" s="12"/>
      <c r="H49" s="16">
        <v>4116</v>
      </c>
    </row>
    <row r="50" spans="1:8" x14ac:dyDescent="0.35">
      <c r="D50" s="12" t="s">
        <v>35</v>
      </c>
      <c r="E50" s="12"/>
      <c r="F50" s="12"/>
      <c r="G50" s="12"/>
      <c r="H50" s="15">
        <f>H48/H49</f>
        <v>1.0000669339164237</v>
      </c>
    </row>
    <row r="51" spans="1:8" x14ac:dyDescent="0.35">
      <c r="D51" s="12" t="s">
        <v>36</v>
      </c>
      <c r="E51" s="12"/>
      <c r="F51" s="12"/>
      <c r="G51" s="12"/>
      <c r="H51" s="14">
        <f>H49-H48</f>
        <v>-0.27549999999973807</v>
      </c>
    </row>
    <row r="54" spans="1:8" ht="21.5" thickBot="1" x14ac:dyDescent="0.55000000000000004">
      <c r="A54" s="27" t="s">
        <v>0</v>
      </c>
      <c r="B54" s="28"/>
      <c r="C54" s="28"/>
      <c r="D54" s="28"/>
      <c r="E54" s="28"/>
      <c r="F54" s="28"/>
      <c r="G54" s="28"/>
    </row>
    <row r="55" spans="1:8" x14ac:dyDescent="0.35">
      <c r="A55" s="1"/>
      <c r="B55" s="2"/>
      <c r="C55" s="2"/>
      <c r="D55" s="2"/>
      <c r="E55" s="2"/>
      <c r="F55" s="2"/>
      <c r="G55" s="2"/>
      <c r="H55" s="3"/>
    </row>
    <row r="56" spans="1:8" x14ac:dyDescent="0.35">
      <c r="A56" s="4" t="s">
        <v>1</v>
      </c>
      <c r="B56" t="s">
        <v>2</v>
      </c>
      <c r="H56" s="5"/>
    </row>
    <row r="57" spans="1:8" x14ac:dyDescent="0.35">
      <c r="A57" s="4" t="s">
        <v>3</v>
      </c>
      <c r="B57" t="s">
        <v>4</v>
      </c>
      <c r="H57" s="5"/>
    </row>
    <row r="58" spans="1:8" x14ac:dyDescent="0.35">
      <c r="A58" s="4" t="s">
        <v>5</v>
      </c>
      <c r="B58" t="s">
        <v>125</v>
      </c>
      <c r="H58" s="5"/>
    </row>
    <row r="59" spans="1:8" x14ac:dyDescent="0.35">
      <c r="A59" s="4" t="s">
        <v>6</v>
      </c>
      <c r="B59" s="25">
        <v>45813</v>
      </c>
      <c r="H59" s="5"/>
    </row>
    <row r="60" spans="1:8" ht="15" thickBot="1" x14ac:dyDescent="0.4">
      <c r="A60" s="6" t="s">
        <v>7</v>
      </c>
      <c r="B60" s="7"/>
      <c r="C60" s="7"/>
      <c r="D60" s="7"/>
      <c r="E60" s="7"/>
      <c r="F60" s="7"/>
      <c r="G60" s="7"/>
      <c r="H60" s="8"/>
    </row>
    <row r="61" spans="1:8" ht="15" thickBot="1" x14ac:dyDescent="0.4">
      <c r="A61" s="1"/>
      <c r="B61" s="2"/>
      <c r="C61" s="2"/>
      <c r="D61" s="2"/>
      <c r="E61" s="2"/>
      <c r="F61" s="2"/>
      <c r="G61" s="2"/>
      <c r="H61" s="3"/>
    </row>
    <row r="62" spans="1:8" ht="16" thickBot="1" x14ac:dyDescent="0.4">
      <c r="A62" s="9" t="s">
        <v>8</v>
      </c>
      <c r="B62" s="29" t="s">
        <v>9</v>
      </c>
      <c r="C62" s="29"/>
      <c r="D62" s="29"/>
      <c r="E62" s="29"/>
      <c r="F62" s="29"/>
      <c r="G62" s="29"/>
      <c r="H62" s="10">
        <v>150</v>
      </c>
    </row>
    <row r="63" spans="1:8" ht="15.5" x14ac:dyDescent="0.35">
      <c r="A63" s="30" t="s">
        <v>10</v>
      </c>
      <c r="B63" s="32" t="s">
        <v>11</v>
      </c>
      <c r="C63" s="32"/>
      <c r="D63" s="32"/>
      <c r="E63" s="32"/>
      <c r="F63" s="32"/>
      <c r="G63" s="32"/>
      <c r="H63" s="11" t="s">
        <v>12</v>
      </c>
    </row>
    <row r="64" spans="1:8" x14ac:dyDescent="0.35">
      <c r="A64" s="31"/>
      <c r="B64" s="33" t="s">
        <v>13</v>
      </c>
      <c r="C64" s="33" t="s">
        <v>14</v>
      </c>
      <c r="D64" s="33" t="s">
        <v>15</v>
      </c>
      <c r="E64" s="33" t="s">
        <v>16</v>
      </c>
      <c r="F64" s="33" t="s">
        <v>17</v>
      </c>
      <c r="G64" s="33" t="s">
        <v>18</v>
      </c>
      <c r="H64" s="26" t="s">
        <v>19</v>
      </c>
    </row>
    <row r="65" spans="1:8" x14ac:dyDescent="0.35">
      <c r="A65" s="31"/>
      <c r="B65" s="33"/>
      <c r="C65" s="33"/>
      <c r="D65" s="33"/>
      <c r="E65" s="33"/>
      <c r="F65" s="33"/>
      <c r="G65" s="33"/>
      <c r="H65" s="26"/>
    </row>
    <row r="66" spans="1:8" x14ac:dyDescent="0.35">
      <c r="A66" s="12" t="s">
        <v>50</v>
      </c>
      <c r="B66" s="12">
        <v>150</v>
      </c>
      <c r="C66" s="13" t="s">
        <v>20</v>
      </c>
      <c r="D66" s="14">
        <v>1100000</v>
      </c>
      <c r="E66" s="12">
        <v>5000</v>
      </c>
      <c r="F66" s="13" t="s">
        <v>20</v>
      </c>
      <c r="G66" s="15">
        <v>0</v>
      </c>
      <c r="H66" s="14">
        <f>IF(B66&gt;0,(D66+(D66*G66))*B66/E66,0)</f>
        <v>33000</v>
      </c>
    </row>
    <row r="67" spans="1:8" x14ac:dyDescent="0.35">
      <c r="A67" s="19" t="s">
        <v>84</v>
      </c>
      <c r="B67" s="12">
        <v>10</v>
      </c>
      <c r="C67" s="13" t="s">
        <v>20</v>
      </c>
      <c r="D67" s="14">
        <v>40000</v>
      </c>
      <c r="E67" s="12">
        <v>1000</v>
      </c>
      <c r="F67" s="13" t="s">
        <v>20</v>
      </c>
      <c r="G67" s="15">
        <v>0</v>
      </c>
      <c r="H67" s="14">
        <f t="shared" ref="H67:H74" si="2">IF(B67&gt;0,(D67+(D67*G67))*B67/E67,0)</f>
        <v>400</v>
      </c>
    </row>
    <row r="68" spans="1:8" x14ac:dyDescent="0.35">
      <c r="A68" s="19" t="s">
        <v>89</v>
      </c>
      <c r="B68" s="12">
        <v>10</v>
      </c>
      <c r="C68" s="13" t="s">
        <v>20</v>
      </c>
      <c r="D68" s="14">
        <v>125000</v>
      </c>
      <c r="E68" s="12">
        <v>1000</v>
      </c>
      <c r="F68" s="13" t="s">
        <v>20</v>
      </c>
      <c r="G68" s="15">
        <v>0</v>
      </c>
      <c r="H68" s="14">
        <f t="shared" si="2"/>
        <v>1250</v>
      </c>
    </row>
    <row r="69" spans="1:8" x14ac:dyDescent="0.35">
      <c r="A69" s="19" t="s">
        <v>126</v>
      </c>
      <c r="B69" s="12">
        <v>20</v>
      </c>
      <c r="C69" s="13" t="s">
        <v>20</v>
      </c>
      <c r="D69" s="14">
        <v>67979</v>
      </c>
      <c r="E69" s="12">
        <v>720</v>
      </c>
      <c r="F69" s="13" t="s">
        <v>20</v>
      </c>
      <c r="G69" s="15">
        <v>0</v>
      </c>
      <c r="H69" s="14">
        <f t="shared" si="2"/>
        <v>1888.3055555555557</v>
      </c>
    </row>
    <row r="70" spans="1:8" x14ac:dyDescent="0.35">
      <c r="A70" s="19" t="s">
        <v>104</v>
      </c>
      <c r="B70" s="12">
        <v>3</v>
      </c>
      <c r="C70" s="13" t="s">
        <v>20</v>
      </c>
      <c r="D70" s="14">
        <v>46220</v>
      </c>
      <c r="E70" s="12">
        <v>30</v>
      </c>
      <c r="F70" s="13" t="s">
        <v>20</v>
      </c>
      <c r="G70" s="15">
        <v>0</v>
      </c>
      <c r="H70" s="14">
        <f t="shared" si="2"/>
        <v>4622</v>
      </c>
    </row>
    <row r="71" spans="1:8" x14ac:dyDescent="0.35">
      <c r="A71" s="19" t="s">
        <v>127</v>
      </c>
      <c r="B71" s="12">
        <v>3</v>
      </c>
      <c r="C71" s="13" t="s">
        <v>20</v>
      </c>
      <c r="D71" s="14">
        <v>75000</v>
      </c>
      <c r="E71" s="12">
        <v>150</v>
      </c>
      <c r="F71" s="13" t="s">
        <v>20</v>
      </c>
      <c r="G71" s="15">
        <v>0</v>
      </c>
      <c r="H71" s="14">
        <f t="shared" si="2"/>
        <v>1500</v>
      </c>
    </row>
    <row r="72" spans="1:8" x14ac:dyDescent="0.35">
      <c r="A72" s="19" t="s">
        <v>128</v>
      </c>
      <c r="B72" s="12">
        <v>20</v>
      </c>
      <c r="C72" s="13" t="s">
        <v>26</v>
      </c>
      <c r="D72" s="14">
        <v>21923.43</v>
      </c>
      <c r="E72" s="12">
        <v>1000</v>
      </c>
      <c r="F72" s="13" t="s">
        <v>26</v>
      </c>
      <c r="G72" s="15">
        <v>0</v>
      </c>
      <c r="H72" s="14">
        <f t="shared" si="2"/>
        <v>438.46859999999998</v>
      </c>
    </row>
    <row r="73" spans="1:8" x14ac:dyDescent="0.35">
      <c r="A73" s="19" t="s">
        <v>124</v>
      </c>
      <c r="B73" s="12">
        <v>15</v>
      </c>
      <c r="C73" s="13" t="s">
        <v>20</v>
      </c>
      <c r="D73" s="14">
        <v>9000</v>
      </c>
      <c r="E73" s="12">
        <v>1000</v>
      </c>
      <c r="F73" s="13" t="s">
        <v>20</v>
      </c>
      <c r="G73" s="15">
        <v>0</v>
      </c>
      <c r="H73" s="14">
        <f t="shared" si="2"/>
        <v>135</v>
      </c>
    </row>
    <row r="74" spans="1:8" x14ac:dyDescent="0.35">
      <c r="A74" s="19" t="s">
        <v>30</v>
      </c>
      <c r="B74" s="12">
        <v>15</v>
      </c>
      <c r="C74" s="13" t="s">
        <v>20</v>
      </c>
      <c r="D74" s="14">
        <v>45000</v>
      </c>
      <c r="E74" s="12">
        <v>1000</v>
      </c>
      <c r="F74" s="13" t="s">
        <v>20</v>
      </c>
      <c r="G74" s="15">
        <v>0</v>
      </c>
      <c r="H74" s="14">
        <f t="shared" si="2"/>
        <v>675</v>
      </c>
    </row>
    <row r="75" spans="1:8" x14ac:dyDescent="0.35">
      <c r="D75" s="17" t="s">
        <v>31</v>
      </c>
      <c r="E75" s="17"/>
      <c r="F75" s="17"/>
      <c r="G75" s="17"/>
      <c r="H75" s="18">
        <f>SUM(H66:H74)</f>
        <v>43908.774155555555</v>
      </c>
    </row>
    <row r="76" spans="1:8" x14ac:dyDescent="0.35">
      <c r="D76" s="12" t="s">
        <v>32</v>
      </c>
      <c r="E76" s="12"/>
      <c r="F76" s="12"/>
      <c r="G76" s="12"/>
      <c r="H76" s="14">
        <f>H75*0.15</f>
        <v>6586.3161233333331</v>
      </c>
    </row>
    <row r="77" spans="1:8" x14ac:dyDescent="0.35">
      <c r="D77" s="12" t="s">
        <v>12</v>
      </c>
      <c r="E77" s="12"/>
      <c r="F77" s="12"/>
      <c r="G77" s="12"/>
      <c r="H77" s="14">
        <f>H75+H76</f>
        <v>50495.090278888885</v>
      </c>
    </row>
    <row r="78" spans="1:8" x14ac:dyDescent="0.35">
      <c r="D78" s="12" t="s">
        <v>33</v>
      </c>
      <c r="E78" s="12"/>
      <c r="F78" s="12"/>
      <c r="G78" s="12"/>
      <c r="H78" s="14">
        <f>H77/H62</f>
        <v>336.63393519259256</v>
      </c>
    </row>
    <row r="79" spans="1:8" x14ac:dyDescent="0.35">
      <c r="D79" s="12" t="s">
        <v>34</v>
      </c>
      <c r="E79" s="12"/>
      <c r="F79" s="12"/>
      <c r="G79" s="12"/>
      <c r="H79" s="16">
        <v>337</v>
      </c>
    </row>
    <row r="80" spans="1:8" x14ac:dyDescent="0.35">
      <c r="D80" s="12" t="s">
        <v>35</v>
      </c>
      <c r="E80" s="12"/>
      <c r="F80" s="12"/>
      <c r="G80" s="12"/>
      <c r="H80" s="15">
        <f>H78/H79</f>
        <v>0.99891375428069007</v>
      </c>
    </row>
    <row r="81" spans="1:8" x14ac:dyDescent="0.35">
      <c r="D81" s="12" t="s">
        <v>36</v>
      </c>
      <c r="E81" s="12"/>
      <c r="F81" s="12"/>
      <c r="G81" s="12"/>
      <c r="H81" s="14">
        <f>H79-H78</f>
        <v>0.36606480740744018</v>
      </c>
    </row>
    <row r="83" spans="1:8" ht="21.5" thickBot="1" x14ac:dyDescent="0.55000000000000004">
      <c r="A83" s="27" t="s">
        <v>0</v>
      </c>
      <c r="B83" s="28"/>
      <c r="C83" s="28"/>
      <c r="D83" s="28"/>
      <c r="E83" s="28"/>
      <c r="F83" s="28"/>
      <c r="G83" s="28"/>
    </row>
    <row r="84" spans="1:8" x14ac:dyDescent="0.35">
      <c r="A84" s="1"/>
      <c r="B84" s="2"/>
      <c r="C84" s="2"/>
      <c r="D84" s="2"/>
      <c r="E84" s="2"/>
      <c r="F84" s="2"/>
      <c r="G84" s="2"/>
      <c r="H84" s="3"/>
    </row>
    <row r="85" spans="1:8" x14ac:dyDescent="0.35">
      <c r="A85" s="4" t="s">
        <v>1</v>
      </c>
      <c r="B85" t="s">
        <v>2</v>
      </c>
      <c r="H85" s="5"/>
    </row>
    <row r="86" spans="1:8" x14ac:dyDescent="0.35">
      <c r="A86" s="4" t="s">
        <v>3</v>
      </c>
      <c r="B86" t="s">
        <v>4</v>
      </c>
      <c r="H86" s="5"/>
    </row>
    <row r="87" spans="1:8" x14ac:dyDescent="0.35">
      <c r="A87" s="4" t="s">
        <v>5</v>
      </c>
      <c r="B87" t="s">
        <v>163</v>
      </c>
      <c r="H87" s="5"/>
    </row>
    <row r="88" spans="1:8" x14ac:dyDescent="0.35">
      <c r="A88" s="4" t="s">
        <v>6</v>
      </c>
      <c r="B88" s="25">
        <v>45813</v>
      </c>
      <c r="H88" s="5"/>
    </row>
    <row r="89" spans="1:8" ht="15" thickBot="1" x14ac:dyDescent="0.4">
      <c r="A89" s="6" t="s">
        <v>7</v>
      </c>
      <c r="B89" s="7"/>
      <c r="C89" s="7"/>
      <c r="D89" s="7"/>
      <c r="E89" s="7"/>
      <c r="F89" s="7"/>
      <c r="G89" s="7"/>
      <c r="H89" s="8"/>
    </row>
    <row r="90" spans="1:8" ht="15" thickBot="1" x14ac:dyDescent="0.4">
      <c r="A90" s="1"/>
      <c r="B90" s="2"/>
      <c r="C90" s="2"/>
      <c r="D90" s="2"/>
      <c r="E90" s="2"/>
      <c r="F90" s="2"/>
      <c r="G90" s="2"/>
      <c r="H90" s="3"/>
    </row>
    <row r="91" spans="1:8" ht="16" thickBot="1" x14ac:dyDescent="0.4">
      <c r="A91" s="9" t="s">
        <v>8</v>
      </c>
      <c r="B91" s="29" t="s">
        <v>9</v>
      </c>
      <c r="C91" s="29"/>
      <c r="D91" s="29"/>
      <c r="E91" s="29"/>
      <c r="F91" s="29"/>
      <c r="G91" s="29"/>
      <c r="H91" s="10">
        <v>10</v>
      </c>
    </row>
    <row r="92" spans="1:8" ht="15.5" x14ac:dyDescent="0.35">
      <c r="A92" s="30" t="s">
        <v>10</v>
      </c>
      <c r="B92" s="32" t="s">
        <v>11</v>
      </c>
      <c r="C92" s="32"/>
      <c r="D92" s="32"/>
      <c r="E92" s="32"/>
      <c r="F92" s="32"/>
      <c r="G92" s="32"/>
      <c r="H92" s="11" t="s">
        <v>12</v>
      </c>
    </row>
    <row r="93" spans="1:8" x14ac:dyDescent="0.35">
      <c r="A93" s="31"/>
      <c r="B93" s="33" t="s">
        <v>13</v>
      </c>
      <c r="C93" s="33" t="s">
        <v>14</v>
      </c>
      <c r="D93" s="33" t="s">
        <v>15</v>
      </c>
      <c r="E93" s="33" t="s">
        <v>16</v>
      </c>
      <c r="F93" s="33" t="s">
        <v>17</v>
      </c>
      <c r="G93" s="33" t="s">
        <v>18</v>
      </c>
      <c r="H93" s="26" t="s">
        <v>19</v>
      </c>
    </row>
    <row r="94" spans="1:8" x14ac:dyDescent="0.35">
      <c r="A94" s="31"/>
      <c r="B94" s="33"/>
      <c r="C94" s="33"/>
      <c r="D94" s="33"/>
      <c r="E94" s="33"/>
      <c r="F94" s="33"/>
      <c r="G94" s="33"/>
      <c r="H94" s="26"/>
    </row>
    <row r="95" spans="1:8" x14ac:dyDescent="0.35">
      <c r="A95" s="12" t="s">
        <v>129</v>
      </c>
      <c r="B95" s="12">
        <v>1000</v>
      </c>
      <c r="C95" s="13" t="s">
        <v>20</v>
      </c>
      <c r="D95" s="14">
        <v>64003</v>
      </c>
      <c r="E95" s="12">
        <v>1000</v>
      </c>
      <c r="F95" s="13" t="s">
        <v>20</v>
      </c>
      <c r="G95" s="15">
        <v>0</v>
      </c>
      <c r="H95" s="14">
        <f>IF(B95&gt;0,(D95+(D95*G95))*B95/E95,0)</f>
        <v>64003</v>
      </c>
    </row>
    <row r="96" spans="1:8" x14ac:dyDescent="0.35">
      <c r="A96" s="19" t="s">
        <v>124</v>
      </c>
      <c r="B96" s="12">
        <v>30</v>
      </c>
      <c r="C96" s="13" t="s">
        <v>20</v>
      </c>
      <c r="D96" s="14">
        <v>9000</v>
      </c>
      <c r="E96" s="12">
        <v>1000</v>
      </c>
      <c r="F96" s="13" t="s">
        <v>20</v>
      </c>
      <c r="G96" s="15">
        <v>0</v>
      </c>
      <c r="H96" s="14">
        <f t="shared" ref="H96:H101" si="3">IF(B96&gt;0,(D96+(D96*G96))*B96/E96,0)</f>
        <v>270</v>
      </c>
    </row>
    <row r="97" spans="1:8" x14ac:dyDescent="0.35">
      <c r="A97" s="19" t="s">
        <v>30</v>
      </c>
      <c r="B97" s="12">
        <v>30</v>
      </c>
      <c r="C97" s="13" t="s">
        <v>20</v>
      </c>
      <c r="D97" s="14">
        <v>45000</v>
      </c>
      <c r="E97" s="12">
        <v>1000</v>
      </c>
      <c r="F97" s="13" t="s">
        <v>20</v>
      </c>
      <c r="G97" s="15">
        <v>0</v>
      </c>
      <c r="H97" s="14">
        <f t="shared" si="3"/>
        <v>1350</v>
      </c>
    </row>
    <row r="98" spans="1:8" x14ac:dyDescent="0.35">
      <c r="A98" s="19" t="s">
        <v>94</v>
      </c>
      <c r="B98" s="12">
        <v>4</v>
      </c>
      <c r="C98" s="13" t="s">
        <v>24</v>
      </c>
      <c r="D98" s="14">
        <v>69000</v>
      </c>
      <c r="E98" s="12">
        <v>30</v>
      </c>
      <c r="F98" s="13" t="s">
        <v>24</v>
      </c>
      <c r="G98" s="15">
        <v>0</v>
      </c>
      <c r="H98" s="14">
        <f t="shared" si="3"/>
        <v>9200</v>
      </c>
    </row>
    <row r="99" spans="1:8" x14ac:dyDescent="0.35">
      <c r="A99" s="19" t="s">
        <v>60</v>
      </c>
      <c r="B99" s="12">
        <v>200</v>
      </c>
      <c r="C99" s="13" t="s">
        <v>20</v>
      </c>
      <c r="D99" s="14">
        <v>28080</v>
      </c>
      <c r="E99" s="12">
        <v>1000</v>
      </c>
      <c r="F99" s="13" t="s">
        <v>20</v>
      </c>
      <c r="G99" s="15">
        <v>0</v>
      </c>
      <c r="H99" s="14">
        <f t="shared" si="3"/>
        <v>5616</v>
      </c>
    </row>
    <row r="100" spans="1:8" x14ac:dyDescent="0.35">
      <c r="A100" s="19" t="s">
        <v>130</v>
      </c>
      <c r="B100" s="12">
        <v>250</v>
      </c>
      <c r="C100" s="13" t="s">
        <v>20</v>
      </c>
      <c r="D100" s="14">
        <v>29496</v>
      </c>
      <c r="E100" s="12">
        <v>1000</v>
      </c>
      <c r="F100" s="13" t="s">
        <v>20</v>
      </c>
      <c r="G100" s="15">
        <v>0</v>
      </c>
      <c r="H100" s="14">
        <f t="shared" si="3"/>
        <v>7374</v>
      </c>
    </row>
    <row r="101" spans="1:8" x14ac:dyDescent="0.35">
      <c r="A101" s="19" t="s">
        <v>81</v>
      </c>
      <c r="B101" s="12">
        <v>300</v>
      </c>
      <c r="C101" s="13" t="s">
        <v>26</v>
      </c>
      <c r="D101" s="14">
        <v>185000</v>
      </c>
      <c r="E101" s="12">
        <v>3000</v>
      </c>
      <c r="F101" s="13" t="s">
        <v>26</v>
      </c>
      <c r="G101" s="15">
        <v>0</v>
      </c>
      <c r="H101" s="14">
        <f t="shared" si="3"/>
        <v>18500</v>
      </c>
    </row>
    <row r="102" spans="1:8" x14ac:dyDescent="0.35">
      <c r="A102" s="19" t="s">
        <v>125</v>
      </c>
      <c r="B102" s="12">
        <v>300</v>
      </c>
      <c r="C102" s="13" t="s">
        <v>20</v>
      </c>
      <c r="D102" s="14">
        <v>337</v>
      </c>
      <c r="E102" s="12">
        <v>1</v>
      </c>
      <c r="F102" s="13" t="s">
        <v>20</v>
      </c>
      <c r="G102" s="15">
        <v>0</v>
      </c>
      <c r="H102" s="14">
        <f>IF(B102&gt;0,(D102+(D102*G102))*B102/E102,0)</f>
        <v>101100</v>
      </c>
    </row>
    <row r="103" spans="1:8" x14ac:dyDescent="0.35">
      <c r="A103" s="19" t="s">
        <v>173</v>
      </c>
      <c r="B103" s="19">
        <v>10</v>
      </c>
      <c r="C103" s="13" t="s">
        <v>170</v>
      </c>
      <c r="D103" s="14">
        <v>4116</v>
      </c>
      <c r="E103" s="12">
        <v>1</v>
      </c>
      <c r="F103" s="13" t="s">
        <v>170</v>
      </c>
      <c r="G103" s="15">
        <v>0</v>
      </c>
      <c r="H103" s="14">
        <f t="shared" ref="H103:H104" si="4">IF(B103&gt;0,(D103+(D103*G103))*B103/E103,0)</f>
        <v>41160</v>
      </c>
    </row>
    <row r="104" spans="1:8" x14ac:dyDescent="0.35">
      <c r="A104" s="19" t="s">
        <v>118</v>
      </c>
      <c r="B104" s="19">
        <v>10</v>
      </c>
      <c r="C104" s="13" t="s">
        <v>170</v>
      </c>
      <c r="D104" s="14">
        <v>2740</v>
      </c>
      <c r="E104" s="12">
        <v>1</v>
      </c>
      <c r="F104" s="13" t="s">
        <v>170</v>
      </c>
      <c r="G104" s="15">
        <v>0</v>
      </c>
      <c r="H104" s="14">
        <f t="shared" si="4"/>
        <v>27400</v>
      </c>
    </row>
    <row r="105" spans="1:8" x14ac:dyDescent="0.35">
      <c r="D105" s="17" t="s">
        <v>31</v>
      </c>
      <c r="E105" s="17"/>
      <c r="F105" s="17"/>
      <c r="G105" s="17"/>
      <c r="H105" s="18">
        <f>SUM(H95:H102)</f>
        <v>207413</v>
      </c>
    </row>
    <row r="106" spans="1:8" x14ac:dyDescent="0.35">
      <c r="D106" s="12" t="s">
        <v>32</v>
      </c>
      <c r="E106" s="12"/>
      <c r="F106" s="12"/>
      <c r="G106" s="12"/>
      <c r="H106" s="14">
        <f>H105*0.15</f>
        <v>31111.949999999997</v>
      </c>
    </row>
    <row r="107" spans="1:8" x14ac:dyDescent="0.35">
      <c r="D107" s="12" t="s">
        <v>12</v>
      </c>
      <c r="E107" s="12"/>
      <c r="F107" s="12"/>
      <c r="G107" s="12"/>
      <c r="H107" s="14">
        <f>H105+H106</f>
        <v>238524.95</v>
      </c>
    </row>
    <row r="108" spans="1:8" x14ac:dyDescent="0.35">
      <c r="D108" s="12" t="s">
        <v>33</v>
      </c>
      <c r="E108" s="12"/>
      <c r="F108" s="12"/>
      <c r="G108" s="12"/>
      <c r="H108" s="14">
        <f>H107/H91</f>
        <v>23852.495000000003</v>
      </c>
    </row>
    <row r="109" spans="1:8" x14ac:dyDescent="0.35">
      <c r="D109" s="12" t="s">
        <v>34</v>
      </c>
      <c r="E109" s="12"/>
      <c r="F109" s="12"/>
      <c r="G109" s="12"/>
      <c r="H109" s="16">
        <v>75000</v>
      </c>
    </row>
    <row r="110" spans="1:8" x14ac:dyDescent="0.35">
      <c r="D110" s="12" t="s">
        <v>35</v>
      </c>
      <c r="E110" s="12"/>
      <c r="F110" s="12"/>
      <c r="G110" s="12"/>
      <c r="H110" s="15">
        <f>H108/H109</f>
        <v>0.3180332666666667</v>
      </c>
    </row>
    <row r="111" spans="1:8" x14ac:dyDescent="0.35">
      <c r="D111" s="12" t="s">
        <v>36</v>
      </c>
      <c r="E111" s="12"/>
      <c r="F111" s="12"/>
      <c r="G111" s="12"/>
      <c r="H111" s="14">
        <f>H109-H108</f>
        <v>51147.504999999997</v>
      </c>
    </row>
  </sheetData>
  <mergeCells count="44">
    <mergeCell ref="H93:H94"/>
    <mergeCell ref="A83:G83"/>
    <mergeCell ref="B91:G91"/>
    <mergeCell ref="A92:A94"/>
    <mergeCell ref="B92:G92"/>
    <mergeCell ref="B93:B94"/>
    <mergeCell ref="C93:C94"/>
    <mergeCell ref="D93:D94"/>
    <mergeCell ref="E93:E94"/>
    <mergeCell ref="F93:F94"/>
    <mergeCell ref="G93:G94"/>
    <mergeCell ref="H35:H36"/>
    <mergeCell ref="A54:G54"/>
    <mergeCell ref="B62:G62"/>
    <mergeCell ref="A63:A65"/>
    <mergeCell ref="B63:G63"/>
    <mergeCell ref="B64:B65"/>
    <mergeCell ref="C64:C65"/>
    <mergeCell ref="D64:D65"/>
    <mergeCell ref="E64:E65"/>
    <mergeCell ref="F64:F65"/>
    <mergeCell ref="G64:G65"/>
    <mergeCell ref="H64:H65"/>
    <mergeCell ref="A25:G25"/>
    <mergeCell ref="B33:G33"/>
    <mergeCell ref="A34:A36"/>
    <mergeCell ref="B34:G34"/>
    <mergeCell ref="B35:B36"/>
    <mergeCell ref="C35:C36"/>
    <mergeCell ref="D35:D36"/>
    <mergeCell ref="E35:E36"/>
    <mergeCell ref="F35:F36"/>
    <mergeCell ref="G35:G36"/>
    <mergeCell ref="H11:H12"/>
    <mergeCell ref="A1:G1"/>
    <mergeCell ref="B9:G9"/>
    <mergeCell ref="A10:A12"/>
    <mergeCell ref="B10:G10"/>
    <mergeCell ref="B11:B12"/>
    <mergeCell ref="C11:C12"/>
    <mergeCell ref="D11:D12"/>
    <mergeCell ref="E11:E12"/>
    <mergeCell ref="F11:F12"/>
    <mergeCell ref="G11:G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F91B6-6572-4302-94A4-D83097EB2CD3}">
  <dimension ref="A1:H26"/>
  <sheetViews>
    <sheetView tabSelected="1" workbookViewId="0">
      <selection activeCell="H25" sqref="H25"/>
    </sheetView>
  </sheetViews>
  <sheetFormatPr defaultRowHeight="14.5" x14ac:dyDescent="0.35"/>
  <cols>
    <col min="1" max="8" width="18" customWidth="1"/>
  </cols>
  <sheetData>
    <row r="1" spans="1:8" ht="21.5" thickBot="1" x14ac:dyDescent="0.55000000000000004">
      <c r="A1" s="27" t="s">
        <v>0</v>
      </c>
      <c r="B1" s="28"/>
      <c r="C1" s="28"/>
      <c r="D1" s="28"/>
      <c r="E1" s="28"/>
      <c r="F1" s="28"/>
      <c r="G1" s="28"/>
    </row>
    <row r="2" spans="1:8" x14ac:dyDescent="0.35">
      <c r="A2" s="1"/>
      <c r="B2" s="2"/>
      <c r="C2" s="2"/>
      <c r="D2" s="2"/>
      <c r="E2" s="2"/>
      <c r="F2" s="2"/>
      <c r="G2" s="2"/>
      <c r="H2" s="3"/>
    </row>
    <row r="3" spans="1:8" x14ac:dyDescent="0.35">
      <c r="A3" s="4" t="s">
        <v>1</v>
      </c>
      <c r="B3" t="s">
        <v>2</v>
      </c>
      <c r="H3" s="5"/>
    </row>
    <row r="4" spans="1:8" x14ac:dyDescent="0.35">
      <c r="A4" s="4" t="s">
        <v>3</v>
      </c>
      <c r="B4" t="s">
        <v>4</v>
      </c>
      <c r="H4" s="5"/>
    </row>
    <row r="5" spans="1:8" x14ac:dyDescent="0.35">
      <c r="A5" s="4" t="s">
        <v>5</v>
      </c>
      <c r="B5" t="s">
        <v>177</v>
      </c>
      <c r="H5" s="5"/>
    </row>
    <row r="6" spans="1:8" x14ac:dyDescent="0.35">
      <c r="A6" s="4" t="s">
        <v>6</v>
      </c>
      <c r="B6" s="25">
        <v>46208</v>
      </c>
      <c r="H6" s="5"/>
    </row>
    <row r="7" spans="1:8" ht="15" thickBot="1" x14ac:dyDescent="0.4">
      <c r="A7" s="6" t="s">
        <v>7</v>
      </c>
      <c r="B7" s="7"/>
      <c r="C7" s="7"/>
      <c r="D7" s="7"/>
      <c r="E7" s="7"/>
      <c r="F7" s="7"/>
      <c r="G7" s="7"/>
      <c r="H7" s="8"/>
    </row>
    <row r="8" spans="1:8" ht="15" thickBot="1" x14ac:dyDescent="0.4">
      <c r="A8" s="1"/>
      <c r="B8" s="2"/>
      <c r="C8" s="2"/>
      <c r="D8" s="2"/>
      <c r="E8" s="2"/>
      <c r="F8" s="2"/>
      <c r="G8" s="2"/>
      <c r="H8" s="3"/>
    </row>
    <row r="9" spans="1:8" ht="16" thickBot="1" x14ac:dyDescent="0.4">
      <c r="A9" s="9" t="s">
        <v>8</v>
      </c>
      <c r="B9" s="29" t="s">
        <v>9</v>
      </c>
      <c r="C9" s="29"/>
      <c r="D9" s="29"/>
      <c r="E9" s="29"/>
      <c r="F9" s="29"/>
      <c r="G9" s="29"/>
      <c r="H9" s="10">
        <v>25</v>
      </c>
    </row>
    <row r="10" spans="1:8" ht="15.5" x14ac:dyDescent="0.35">
      <c r="A10" s="30" t="s">
        <v>10</v>
      </c>
      <c r="B10" s="32" t="s">
        <v>11</v>
      </c>
      <c r="C10" s="32"/>
      <c r="D10" s="32"/>
      <c r="E10" s="32"/>
      <c r="F10" s="32"/>
      <c r="G10" s="32"/>
      <c r="H10" s="11" t="s">
        <v>12</v>
      </c>
    </row>
    <row r="11" spans="1:8" x14ac:dyDescent="0.35">
      <c r="A11" s="31"/>
      <c r="B11" s="33" t="s">
        <v>13</v>
      </c>
      <c r="C11" s="33" t="s">
        <v>14</v>
      </c>
      <c r="D11" s="33" t="s">
        <v>15</v>
      </c>
      <c r="E11" s="33" t="s">
        <v>16</v>
      </c>
      <c r="F11" s="33" t="s">
        <v>17</v>
      </c>
      <c r="G11" s="33" t="s">
        <v>18</v>
      </c>
      <c r="H11" s="26" t="s">
        <v>19</v>
      </c>
    </row>
    <row r="12" spans="1:8" x14ac:dyDescent="0.35">
      <c r="A12" s="31"/>
      <c r="B12" s="33"/>
      <c r="C12" s="33"/>
      <c r="D12" s="33"/>
      <c r="E12" s="33"/>
      <c r="F12" s="33"/>
      <c r="G12" s="33"/>
      <c r="H12" s="26"/>
    </row>
    <row r="13" spans="1:8" x14ac:dyDescent="0.35">
      <c r="A13" s="12" t="s">
        <v>97</v>
      </c>
      <c r="B13" s="12">
        <v>750</v>
      </c>
      <c r="C13" s="13" t="s">
        <v>20</v>
      </c>
      <c r="D13" s="14">
        <v>28080</v>
      </c>
      <c r="E13" s="12">
        <v>1000</v>
      </c>
      <c r="F13" s="13" t="s">
        <v>20</v>
      </c>
      <c r="G13" s="15">
        <v>0</v>
      </c>
      <c r="H13" s="14">
        <f>IF(B13&gt;0,(D13+(D13*G13))*B13/E13,0)</f>
        <v>21060</v>
      </c>
    </row>
    <row r="14" spans="1:8" x14ac:dyDescent="0.35">
      <c r="A14" s="19" t="s">
        <v>99</v>
      </c>
      <c r="B14" s="12">
        <v>10</v>
      </c>
      <c r="C14" s="13" t="s">
        <v>20</v>
      </c>
      <c r="D14" s="14">
        <v>70000</v>
      </c>
      <c r="E14" s="12">
        <v>500</v>
      </c>
      <c r="F14" s="13" t="s">
        <v>20</v>
      </c>
      <c r="G14" s="15">
        <v>0</v>
      </c>
      <c r="H14" s="14">
        <f t="shared" ref="H14:H19" si="0">IF(B14&gt;0,(D14+(D14*G14))*B14/E14,0)</f>
        <v>1400</v>
      </c>
    </row>
    <row r="15" spans="1:8" x14ac:dyDescent="0.35">
      <c r="A15" s="19" t="s">
        <v>85</v>
      </c>
      <c r="B15" s="12">
        <v>5</v>
      </c>
      <c r="C15" s="13" t="s">
        <v>20</v>
      </c>
      <c r="D15" s="14">
        <v>18900</v>
      </c>
      <c r="E15" s="12">
        <v>1000</v>
      </c>
      <c r="F15" s="13" t="s">
        <v>20</v>
      </c>
      <c r="G15" s="15">
        <v>0</v>
      </c>
      <c r="H15" s="14">
        <f t="shared" si="0"/>
        <v>94.5</v>
      </c>
    </row>
    <row r="16" spans="1:8" x14ac:dyDescent="0.35">
      <c r="A16" s="19" t="s">
        <v>29</v>
      </c>
      <c r="B16" s="12">
        <v>5</v>
      </c>
      <c r="C16" s="13" t="s">
        <v>20</v>
      </c>
      <c r="D16" s="14">
        <v>9000</v>
      </c>
      <c r="E16" s="12">
        <v>1000</v>
      </c>
      <c r="F16" s="13" t="s">
        <v>20</v>
      </c>
      <c r="G16" s="15">
        <v>0</v>
      </c>
      <c r="H16" s="14">
        <f t="shared" si="0"/>
        <v>45</v>
      </c>
    </row>
    <row r="17" spans="1:8" x14ac:dyDescent="0.35">
      <c r="A17" s="19" t="s">
        <v>178</v>
      </c>
      <c r="B17" s="12">
        <v>30</v>
      </c>
      <c r="C17" s="13" t="s">
        <v>26</v>
      </c>
      <c r="D17" s="14">
        <v>165000</v>
      </c>
      <c r="E17" s="12">
        <v>500</v>
      </c>
      <c r="F17" s="13" t="s">
        <v>26</v>
      </c>
      <c r="G17" s="15">
        <v>0</v>
      </c>
      <c r="H17" s="14">
        <f t="shared" si="0"/>
        <v>9900</v>
      </c>
    </row>
    <row r="18" spans="1:8" x14ac:dyDescent="0.35">
      <c r="A18" s="19" t="s">
        <v>94</v>
      </c>
      <c r="B18" s="12">
        <v>1</v>
      </c>
      <c r="C18" s="13" t="s">
        <v>24</v>
      </c>
      <c r="D18" s="14">
        <v>69000</v>
      </c>
      <c r="E18" s="12">
        <v>30</v>
      </c>
      <c r="F18" s="13" t="s">
        <v>24</v>
      </c>
      <c r="G18" s="15">
        <v>0</v>
      </c>
      <c r="H18" s="14">
        <f t="shared" si="0"/>
        <v>2300</v>
      </c>
    </row>
    <row r="19" spans="1:8" x14ac:dyDescent="0.35">
      <c r="A19" s="19" t="s">
        <v>179</v>
      </c>
      <c r="B19" s="12">
        <v>20</v>
      </c>
      <c r="C19" s="13" t="s">
        <v>20</v>
      </c>
      <c r="D19" s="14">
        <v>173416</v>
      </c>
      <c r="E19" s="12">
        <v>1000</v>
      </c>
      <c r="F19" s="13" t="s">
        <v>20</v>
      </c>
      <c r="G19" s="15">
        <v>0</v>
      </c>
      <c r="H19" s="14">
        <f t="shared" si="0"/>
        <v>3468.32</v>
      </c>
    </row>
    <row r="20" spans="1:8" x14ac:dyDescent="0.35">
      <c r="D20" s="17" t="s">
        <v>31</v>
      </c>
      <c r="E20" s="17"/>
      <c r="F20" s="17"/>
      <c r="G20" s="17"/>
      <c r="H20" s="18">
        <f>SUM(H13:H19)</f>
        <v>38267.82</v>
      </c>
    </row>
    <row r="21" spans="1:8" x14ac:dyDescent="0.35">
      <c r="D21" s="12" t="s">
        <v>32</v>
      </c>
      <c r="E21" s="12"/>
      <c r="F21" s="12"/>
      <c r="G21" s="12"/>
      <c r="H21" s="14">
        <f>H20*0.15</f>
        <v>5740.1729999999998</v>
      </c>
    </row>
    <row r="22" spans="1:8" x14ac:dyDescent="0.35">
      <c r="D22" s="12" t="s">
        <v>12</v>
      </c>
      <c r="E22" s="12"/>
      <c r="F22" s="12"/>
      <c r="G22" s="12"/>
      <c r="H22" s="14">
        <f>H20+H21</f>
        <v>44007.993000000002</v>
      </c>
    </row>
    <row r="23" spans="1:8" x14ac:dyDescent="0.35">
      <c r="D23" s="12" t="s">
        <v>33</v>
      </c>
      <c r="E23" s="12"/>
      <c r="F23" s="12"/>
      <c r="G23" s="12"/>
      <c r="H23" s="14">
        <f>H22/H9</f>
        <v>1760.3197200000002</v>
      </c>
    </row>
    <row r="24" spans="1:8" x14ac:dyDescent="0.35">
      <c r="D24" s="12" t="s">
        <v>34</v>
      </c>
      <c r="E24" s="12"/>
      <c r="F24" s="12"/>
      <c r="G24" s="12"/>
      <c r="H24" s="16">
        <v>5000</v>
      </c>
    </row>
    <row r="25" spans="1:8" x14ac:dyDescent="0.35">
      <c r="D25" s="12" t="s">
        <v>35</v>
      </c>
      <c r="E25" s="12"/>
      <c r="F25" s="12"/>
      <c r="G25" s="12"/>
      <c r="H25" s="15">
        <f>H23/H24</f>
        <v>0.35206394400000002</v>
      </c>
    </row>
    <row r="26" spans="1:8" x14ac:dyDescent="0.35">
      <c r="D26" s="12" t="s">
        <v>36</v>
      </c>
      <c r="E26" s="12"/>
      <c r="F26" s="12"/>
      <c r="G26" s="12"/>
      <c r="H26" s="14">
        <f>H24-H23</f>
        <v>3239.6802799999996</v>
      </c>
    </row>
  </sheetData>
  <mergeCells count="11">
    <mergeCell ref="H11:H12"/>
    <mergeCell ref="A1:G1"/>
    <mergeCell ref="B9:G9"/>
    <mergeCell ref="A10:A12"/>
    <mergeCell ref="B10:G10"/>
    <mergeCell ref="B11:B12"/>
    <mergeCell ref="C11:C12"/>
    <mergeCell ref="D11:D12"/>
    <mergeCell ref="E11:E12"/>
    <mergeCell ref="F11:F12"/>
    <mergeCell ref="G11:G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1E1B2-6B22-446B-A228-33ED23FA0463}">
  <dimension ref="A1:H133"/>
  <sheetViews>
    <sheetView topLeftCell="A10" workbookViewId="0">
      <selection activeCell="F115" sqref="F115"/>
    </sheetView>
  </sheetViews>
  <sheetFormatPr defaultRowHeight="14.5" x14ac:dyDescent="0.35"/>
  <cols>
    <col min="1" max="8" width="19" customWidth="1"/>
  </cols>
  <sheetData>
    <row r="1" spans="1:8" ht="21.5" thickBot="1" x14ac:dyDescent="0.55000000000000004">
      <c r="A1" s="27" t="s">
        <v>0</v>
      </c>
      <c r="B1" s="28"/>
      <c r="C1" s="28"/>
      <c r="D1" s="28"/>
      <c r="E1" s="28"/>
      <c r="F1" s="28"/>
      <c r="G1" s="28"/>
    </row>
    <row r="2" spans="1:8" x14ac:dyDescent="0.35">
      <c r="A2" s="1"/>
      <c r="B2" s="2"/>
      <c r="C2" s="2"/>
      <c r="D2" s="2"/>
      <c r="E2" s="2"/>
      <c r="F2" s="2"/>
      <c r="G2" s="2"/>
      <c r="H2" s="3"/>
    </row>
    <row r="3" spans="1:8" x14ac:dyDescent="0.35">
      <c r="A3" s="4" t="s">
        <v>1</v>
      </c>
      <c r="B3" t="s">
        <v>2</v>
      </c>
      <c r="H3" s="5"/>
    </row>
    <row r="4" spans="1:8" x14ac:dyDescent="0.35">
      <c r="A4" s="4" t="s">
        <v>3</v>
      </c>
      <c r="B4" t="s">
        <v>4</v>
      </c>
      <c r="H4" s="5"/>
    </row>
    <row r="5" spans="1:8" x14ac:dyDescent="0.35">
      <c r="A5" s="4" t="s">
        <v>5</v>
      </c>
      <c r="B5" t="s">
        <v>148</v>
      </c>
      <c r="H5" s="5"/>
    </row>
    <row r="6" spans="1:8" x14ac:dyDescent="0.35">
      <c r="A6" s="4" t="s">
        <v>6</v>
      </c>
      <c r="B6" s="25">
        <v>46208</v>
      </c>
      <c r="H6" s="5"/>
    </row>
    <row r="7" spans="1:8" ht="15" thickBot="1" x14ac:dyDescent="0.4">
      <c r="A7" s="6" t="s">
        <v>7</v>
      </c>
      <c r="B7" s="7"/>
      <c r="C7" s="7"/>
      <c r="D7" s="7"/>
      <c r="E7" s="7"/>
      <c r="F7" s="7"/>
      <c r="G7" s="7"/>
      <c r="H7" s="8"/>
    </row>
    <row r="8" spans="1:8" ht="15" thickBot="1" x14ac:dyDescent="0.4">
      <c r="A8" s="1"/>
      <c r="B8" s="2"/>
      <c r="C8" s="2"/>
      <c r="D8" s="2"/>
      <c r="E8" s="2"/>
      <c r="F8" s="2"/>
      <c r="G8" s="2"/>
      <c r="H8" s="3"/>
    </row>
    <row r="9" spans="1:8" ht="16" thickBot="1" x14ac:dyDescent="0.4">
      <c r="A9" s="9" t="s">
        <v>8</v>
      </c>
      <c r="B9" s="29" t="s">
        <v>9</v>
      </c>
      <c r="C9" s="29"/>
      <c r="D9" s="29"/>
      <c r="E9" s="29"/>
      <c r="F9" s="29"/>
      <c r="G9" s="29"/>
      <c r="H9" s="10">
        <v>3</v>
      </c>
    </row>
    <row r="10" spans="1:8" ht="15.5" customHeight="1" x14ac:dyDescent="0.35">
      <c r="A10" s="30" t="s">
        <v>10</v>
      </c>
      <c r="B10" s="32" t="s">
        <v>11</v>
      </c>
      <c r="C10" s="32"/>
      <c r="D10" s="32"/>
      <c r="E10" s="32"/>
      <c r="F10" s="32"/>
      <c r="G10" s="32"/>
      <c r="H10" s="11" t="s">
        <v>12</v>
      </c>
    </row>
    <row r="11" spans="1:8" ht="14.5" customHeight="1" x14ac:dyDescent="0.35">
      <c r="A11" s="31"/>
      <c r="B11" s="33" t="s">
        <v>13</v>
      </c>
      <c r="C11" s="33" t="s">
        <v>14</v>
      </c>
      <c r="D11" s="33" t="s">
        <v>15</v>
      </c>
      <c r="E11" s="33" t="s">
        <v>16</v>
      </c>
      <c r="F11" s="33" t="s">
        <v>17</v>
      </c>
      <c r="G11" s="33" t="s">
        <v>18</v>
      </c>
      <c r="H11" s="26" t="s">
        <v>19</v>
      </c>
    </row>
    <row r="12" spans="1:8" ht="14.5" customHeight="1" x14ac:dyDescent="0.35">
      <c r="A12" s="31"/>
      <c r="B12" s="33"/>
      <c r="C12" s="33"/>
      <c r="D12" s="33"/>
      <c r="E12" s="33"/>
      <c r="F12" s="33"/>
      <c r="G12" s="33"/>
      <c r="H12" s="26"/>
    </row>
    <row r="13" spans="1:8" x14ac:dyDescent="0.35">
      <c r="A13" s="12" t="s">
        <v>94</v>
      </c>
      <c r="B13" s="12">
        <v>18</v>
      </c>
      <c r="C13" s="13" t="s">
        <v>24</v>
      </c>
      <c r="D13" s="14">
        <v>69000</v>
      </c>
      <c r="E13" s="12">
        <v>30</v>
      </c>
      <c r="F13" s="13" t="s">
        <v>24</v>
      </c>
      <c r="G13" s="15">
        <v>0</v>
      </c>
      <c r="H13" s="14">
        <f>IF(B13&gt;0,(D13+(D13*G13))*B13/E13,0)</f>
        <v>41400</v>
      </c>
    </row>
    <row r="14" spans="1:8" x14ac:dyDescent="0.35">
      <c r="A14" s="19" t="s">
        <v>85</v>
      </c>
      <c r="B14" s="12">
        <v>450</v>
      </c>
      <c r="C14" s="13" t="s">
        <v>20</v>
      </c>
      <c r="D14" s="14">
        <v>18900</v>
      </c>
      <c r="E14" s="12">
        <v>1000</v>
      </c>
      <c r="F14" s="13" t="s">
        <v>20</v>
      </c>
      <c r="G14" s="15">
        <v>0</v>
      </c>
      <c r="H14" s="14">
        <f t="shared" ref="H14:H16" si="0">IF(B14&gt;0,(D14+(D14*G14))*B14/E14,0)</f>
        <v>8505</v>
      </c>
    </row>
    <row r="15" spans="1:8" x14ac:dyDescent="0.35">
      <c r="A15" s="19" t="s">
        <v>50</v>
      </c>
      <c r="B15" s="12">
        <v>250</v>
      </c>
      <c r="C15" s="13" t="s">
        <v>20</v>
      </c>
      <c r="D15" s="14">
        <v>1100000</v>
      </c>
      <c r="E15" s="12">
        <v>5000</v>
      </c>
      <c r="F15" s="13" t="s">
        <v>20</v>
      </c>
      <c r="G15" s="15">
        <v>0</v>
      </c>
      <c r="H15" s="14">
        <f t="shared" si="0"/>
        <v>55000</v>
      </c>
    </row>
    <row r="16" spans="1:8" x14ac:dyDescent="0.35">
      <c r="A16" s="19" t="s">
        <v>132</v>
      </c>
      <c r="B16" s="12">
        <v>450</v>
      </c>
      <c r="C16" s="13" t="s">
        <v>20</v>
      </c>
      <c r="D16" s="14">
        <v>21600</v>
      </c>
      <c r="E16" s="12">
        <v>1000</v>
      </c>
      <c r="F16" s="13" t="s">
        <v>20</v>
      </c>
      <c r="G16" s="15">
        <v>0</v>
      </c>
      <c r="H16" s="14">
        <f t="shared" si="0"/>
        <v>9720</v>
      </c>
    </row>
    <row r="17" spans="1:8" x14ac:dyDescent="0.35">
      <c r="D17" s="12" t="s">
        <v>31</v>
      </c>
      <c r="E17" s="12"/>
      <c r="F17" s="12"/>
      <c r="G17" s="12"/>
      <c r="H17" s="14">
        <f>SUM(H13:H16)</f>
        <v>114625</v>
      </c>
    </row>
    <row r="18" spans="1:8" x14ac:dyDescent="0.35">
      <c r="D18" s="12" t="s">
        <v>32</v>
      </c>
      <c r="E18" s="12"/>
      <c r="F18" s="12"/>
      <c r="G18" s="12"/>
      <c r="H18" s="14">
        <f>H17*0.15</f>
        <v>17193.75</v>
      </c>
    </row>
    <row r="19" spans="1:8" x14ac:dyDescent="0.35">
      <c r="D19" s="12" t="s">
        <v>12</v>
      </c>
      <c r="E19" s="12"/>
      <c r="F19" s="12"/>
      <c r="G19" s="12"/>
      <c r="H19" s="14">
        <f>H17+H18</f>
        <v>131818.75</v>
      </c>
    </row>
    <row r="20" spans="1:8" x14ac:dyDescent="0.35">
      <c r="D20" s="12" t="s">
        <v>33</v>
      </c>
      <c r="E20" s="12"/>
      <c r="F20" s="12"/>
      <c r="G20" s="12"/>
      <c r="H20" s="14">
        <f>H19/H9</f>
        <v>43939.583333333336</v>
      </c>
    </row>
    <row r="21" spans="1:8" x14ac:dyDescent="0.35">
      <c r="D21" s="12" t="s">
        <v>34</v>
      </c>
      <c r="E21" s="12"/>
      <c r="F21" s="12"/>
      <c r="G21" s="12"/>
      <c r="H21" s="16">
        <v>43940</v>
      </c>
    </row>
    <row r="22" spans="1:8" x14ac:dyDescent="0.35">
      <c r="D22" s="12" t="s">
        <v>35</v>
      </c>
      <c r="E22" s="12"/>
      <c r="F22" s="12"/>
      <c r="G22" s="12"/>
      <c r="H22" s="15">
        <f>H20/H21</f>
        <v>0.99999051737217426</v>
      </c>
    </row>
    <row r="23" spans="1:8" x14ac:dyDescent="0.35">
      <c r="D23" s="12" t="s">
        <v>36</v>
      </c>
      <c r="E23" s="12"/>
      <c r="F23" s="12"/>
      <c r="G23" s="12"/>
      <c r="H23" s="14">
        <f>H21-H20</f>
        <v>0.41666666666424135</v>
      </c>
    </row>
    <row r="25" spans="1:8" ht="21.5" thickBot="1" x14ac:dyDescent="0.55000000000000004">
      <c r="A25" s="27" t="s">
        <v>0</v>
      </c>
      <c r="B25" s="28"/>
      <c r="C25" s="28"/>
      <c r="D25" s="28"/>
      <c r="E25" s="28"/>
      <c r="F25" s="28"/>
      <c r="G25" s="28"/>
    </row>
    <row r="26" spans="1:8" x14ac:dyDescent="0.35">
      <c r="A26" s="1"/>
      <c r="B26" s="2"/>
      <c r="C26" s="2"/>
      <c r="D26" s="2"/>
      <c r="E26" s="2"/>
      <c r="F26" s="2"/>
      <c r="G26" s="2"/>
      <c r="H26" s="3"/>
    </row>
    <row r="27" spans="1:8" x14ac:dyDescent="0.35">
      <c r="A27" s="4" t="s">
        <v>1</v>
      </c>
      <c r="B27" t="s">
        <v>2</v>
      </c>
      <c r="H27" s="5"/>
    </row>
    <row r="28" spans="1:8" x14ac:dyDescent="0.35">
      <c r="A28" s="4" t="s">
        <v>3</v>
      </c>
      <c r="B28" t="s">
        <v>4</v>
      </c>
      <c r="H28" s="5"/>
    </row>
    <row r="29" spans="1:8" x14ac:dyDescent="0.35">
      <c r="A29" s="4" t="s">
        <v>5</v>
      </c>
      <c r="B29" t="s">
        <v>150</v>
      </c>
      <c r="H29" s="5"/>
    </row>
    <row r="30" spans="1:8" x14ac:dyDescent="0.35">
      <c r="A30" s="4" t="s">
        <v>6</v>
      </c>
      <c r="B30" s="25">
        <v>46208</v>
      </c>
      <c r="H30" s="5"/>
    </row>
    <row r="31" spans="1:8" ht="15" thickBot="1" x14ac:dyDescent="0.4">
      <c r="A31" s="6" t="s">
        <v>7</v>
      </c>
      <c r="B31" s="7"/>
      <c r="C31" s="7"/>
      <c r="D31" s="7"/>
      <c r="E31" s="7"/>
      <c r="F31" s="7"/>
      <c r="G31" s="7"/>
      <c r="H31" s="8"/>
    </row>
    <row r="32" spans="1:8" ht="15" thickBot="1" x14ac:dyDescent="0.4">
      <c r="A32" s="1"/>
      <c r="B32" s="2"/>
      <c r="C32" s="2"/>
      <c r="D32" s="2"/>
      <c r="E32" s="2"/>
      <c r="F32" s="2"/>
      <c r="G32" s="2"/>
      <c r="H32" s="3"/>
    </row>
    <row r="33" spans="1:8" ht="16" thickBot="1" x14ac:dyDescent="0.4">
      <c r="A33" s="9" t="s">
        <v>8</v>
      </c>
      <c r="B33" s="29" t="s">
        <v>9</v>
      </c>
      <c r="C33" s="29"/>
      <c r="D33" s="29"/>
      <c r="E33" s="29"/>
      <c r="F33" s="29"/>
      <c r="G33" s="29"/>
      <c r="H33" s="10">
        <v>1200</v>
      </c>
    </row>
    <row r="34" spans="1:8" ht="15.5" x14ac:dyDescent="0.35">
      <c r="A34" s="30" t="s">
        <v>10</v>
      </c>
      <c r="B34" s="32" t="s">
        <v>11</v>
      </c>
      <c r="C34" s="32"/>
      <c r="D34" s="32"/>
      <c r="E34" s="32"/>
      <c r="F34" s="32"/>
      <c r="G34" s="32"/>
      <c r="H34" s="11" t="s">
        <v>12</v>
      </c>
    </row>
    <row r="35" spans="1:8" x14ac:dyDescent="0.35">
      <c r="A35" s="31"/>
      <c r="B35" s="33" t="s">
        <v>13</v>
      </c>
      <c r="C35" s="33" t="s">
        <v>14</v>
      </c>
      <c r="D35" s="33" t="s">
        <v>15</v>
      </c>
      <c r="E35" s="33" t="s">
        <v>16</v>
      </c>
      <c r="F35" s="33" t="s">
        <v>17</v>
      </c>
      <c r="G35" s="33" t="s">
        <v>18</v>
      </c>
      <c r="H35" s="26" t="s">
        <v>19</v>
      </c>
    </row>
    <row r="36" spans="1:8" x14ac:dyDescent="0.35">
      <c r="A36" s="31"/>
      <c r="B36" s="33"/>
      <c r="C36" s="33"/>
      <c r="D36" s="33"/>
      <c r="E36" s="33"/>
      <c r="F36" s="33"/>
      <c r="G36" s="33"/>
      <c r="H36" s="26"/>
    </row>
    <row r="37" spans="1:8" x14ac:dyDescent="0.35">
      <c r="A37" s="12" t="s">
        <v>64</v>
      </c>
      <c r="B37" s="12">
        <v>1000</v>
      </c>
      <c r="C37" s="13" t="s">
        <v>26</v>
      </c>
      <c r="D37" s="14">
        <v>21200</v>
      </c>
      <c r="E37" s="12">
        <v>1000</v>
      </c>
      <c r="F37" s="13" t="s">
        <v>26</v>
      </c>
      <c r="G37" s="15">
        <v>0</v>
      </c>
      <c r="H37" s="14">
        <f>IF(B37&gt;0,(D37+(D37*G37))*B37/E37,0)</f>
        <v>21200</v>
      </c>
    </row>
    <row r="38" spans="1:8" x14ac:dyDescent="0.35">
      <c r="A38" s="12" t="s">
        <v>85</v>
      </c>
      <c r="B38" s="12">
        <v>150</v>
      </c>
      <c r="C38" s="13" t="s">
        <v>20</v>
      </c>
      <c r="D38" s="14">
        <v>18900</v>
      </c>
      <c r="E38" s="12">
        <v>1000</v>
      </c>
      <c r="F38" s="13" t="s">
        <v>20</v>
      </c>
      <c r="G38" s="15">
        <v>0</v>
      </c>
      <c r="H38" s="14">
        <f t="shared" ref="H38:H41" si="1">IF(B38&gt;0,(D38+(D38*G38))*B38/E38,0)</f>
        <v>2835</v>
      </c>
    </row>
    <row r="39" spans="1:8" x14ac:dyDescent="0.35">
      <c r="A39" s="12" t="s">
        <v>146</v>
      </c>
      <c r="B39" s="12">
        <v>80</v>
      </c>
      <c r="C39" s="13" t="s">
        <v>20</v>
      </c>
      <c r="D39" s="14">
        <v>43076.25</v>
      </c>
      <c r="E39" s="12">
        <v>300</v>
      </c>
      <c r="F39" s="13" t="s">
        <v>20</v>
      </c>
      <c r="G39" s="15">
        <v>0</v>
      </c>
      <c r="H39" s="14">
        <f t="shared" si="1"/>
        <v>11487</v>
      </c>
    </row>
    <row r="40" spans="1:8" x14ac:dyDescent="0.35">
      <c r="A40" s="12" t="s">
        <v>149</v>
      </c>
      <c r="B40" s="12">
        <v>10</v>
      </c>
      <c r="C40" s="13" t="s">
        <v>20</v>
      </c>
      <c r="D40" s="14">
        <v>13004.53</v>
      </c>
      <c r="E40" s="12">
        <v>300</v>
      </c>
      <c r="F40" s="13" t="s">
        <v>20</v>
      </c>
      <c r="G40" s="15">
        <v>0</v>
      </c>
      <c r="H40" s="14">
        <f t="shared" si="1"/>
        <v>433.48433333333332</v>
      </c>
    </row>
    <row r="41" spans="1:8" x14ac:dyDescent="0.35">
      <c r="A41" s="12" t="s">
        <v>23</v>
      </c>
      <c r="B41" s="12">
        <v>8</v>
      </c>
      <c r="C41" s="13" t="s">
        <v>24</v>
      </c>
      <c r="D41" s="14">
        <v>69000</v>
      </c>
      <c r="E41" s="12">
        <v>30</v>
      </c>
      <c r="F41" s="13" t="s">
        <v>24</v>
      </c>
      <c r="G41" s="15">
        <v>0</v>
      </c>
      <c r="H41" s="14">
        <f t="shared" si="1"/>
        <v>18400</v>
      </c>
    </row>
    <row r="42" spans="1:8" x14ac:dyDescent="0.35">
      <c r="D42" s="17" t="s">
        <v>31</v>
      </c>
      <c r="E42" s="17"/>
      <c r="F42" s="17"/>
      <c r="G42" s="17"/>
      <c r="H42" s="18">
        <f>SUM(H37:H41)</f>
        <v>54355.484333333334</v>
      </c>
    </row>
    <row r="43" spans="1:8" x14ac:dyDescent="0.35">
      <c r="D43" s="17" t="s">
        <v>32</v>
      </c>
      <c r="E43" s="17"/>
      <c r="F43" s="17"/>
      <c r="G43" s="17"/>
      <c r="H43" s="18">
        <f>H42*0.15</f>
        <v>8153.3226500000001</v>
      </c>
    </row>
    <row r="44" spans="1:8" x14ac:dyDescent="0.35">
      <c r="D44" s="12" t="s">
        <v>12</v>
      </c>
      <c r="E44" s="12"/>
      <c r="F44" s="12"/>
      <c r="G44" s="12"/>
      <c r="H44" s="14">
        <f>H42+H43</f>
        <v>62508.806983333336</v>
      </c>
    </row>
    <row r="45" spans="1:8" x14ac:dyDescent="0.35">
      <c r="D45" s="12" t="s">
        <v>33</v>
      </c>
      <c r="E45" s="12"/>
      <c r="F45" s="12"/>
      <c r="G45" s="12"/>
      <c r="H45" s="14">
        <f>H44/H33</f>
        <v>52.09067248611111</v>
      </c>
    </row>
    <row r="46" spans="1:8" x14ac:dyDescent="0.35">
      <c r="D46" s="12" t="s">
        <v>34</v>
      </c>
      <c r="E46" s="12"/>
      <c r="F46" s="12"/>
      <c r="G46" s="12"/>
      <c r="H46" s="21">
        <v>53</v>
      </c>
    </row>
    <row r="47" spans="1:8" x14ac:dyDescent="0.35">
      <c r="D47" s="12" t="s">
        <v>35</v>
      </c>
      <c r="E47" s="12"/>
      <c r="F47" s="12"/>
      <c r="G47" s="12"/>
      <c r="H47" s="15">
        <f>H45/H46</f>
        <v>0.98284287709643603</v>
      </c>
    </row>
    <row r="48" spans="1:8" x14ac:dyDescent="0.35">
      <c r="D48" s="12" t="s">
        <v>36</v>
      </c>
      <c r="E48" s="12"/>
      <c r="F48" s="12"/>
      <c r="G48" s="12"/>
      <c r="H48" s="14">
        <f>H46-H45</f>
        <v>0.90932751388888988</v>
      </c>
    </row>
    <row r="51" spans="1:8" ht="21.5" thickBot="1" x14ac:dyDescent="0.55000000000000004">
      <c r="A51" s="27" t="s">
        <v>0</v>
      </c>
      <c r="B51" s="28"/>
      <c r="C51" s="28"/>
      <c r="D51" s="28"/>
      <c r="E51" s="28"/>
      <c r="F51" s="28"/>
      <c r="G51" s="28"/>
    </row>
    <row r="52" spans="1:8" x14ac:dyDescent="0.35">
      <c r="A52" s="1"/>
      <c r="B52" s="2"/>
      <c r="C52" s="2"/>
      <c r="D52" s="2"/>
      <c r="E52" s="2"/>
      <c r="F52" s="2"/>
      <c r="G52" s="2"/>
      <c r="H52" s="3"/>
    </row>
    <row r="53" spans="1:8" x14ac:dyDescent="0.35">
      <c r="A53" s="4" t="s">
        <v>1</v>
      </c>
      <c r="B53" t="s">
        <v>2</v>
      </c>
      <c r="H53" s="5"/>
    </row>
    <row r="54" spans="1:8" x14ac:dyDescent="0.35">
      <c r="A54" s="4" t="s">
        <v>3</v>
      </c>
      <c r="B54" t="s">
        <v>4</v>
      </c>
      <c r="H54" s="5"/>
    </row>
    <row r="55" spans="1:8" x14ac:dyDescent="0.35">
      <c r="A55" s="4" t="s">
        <v>5</v>
      </c>
      <c r="B55" t="s">
        <v>151</v>
      </c>
      <c r="H55" s="5"/>
    </row>
    <row r="56" spans="1:8" x14ac:dyDescent="0.35">
      <c r="A56" s="4" t="s">
        <v>6</v>
      </c>
      <c r="B56" s="25">
        <v>46208</v>
      </c>
      <c r="H56" s="5"/>
    </row>
    <row r="57" spans="1:8" ht="15" thickBot="1" x14ac:dyDescent="0.4">
      <c r="A57" s="6" t="s">
        <v>7</v>
      </c>
      <c r="B57" s="7"/>
      <c r="C57" s="7"/>
      <c r="D57" s="7"/>
      <c r="E57" s="7"/>
      <c r="F57" s="7"/>
      <c r="G57" s="7"/>
      <c r="H57" s="8"/>
    </row>
    <row r="58" spans="1:8" ht="15" thickBot="1" x14ac:dyDescent="0.4">
      <c r="A58" s="1"/>
      <c r="B58" s="2"/>
      <c r="C58" s="2"/>
      <c r="D58" s="2"/>
      <c r="E58" s="2"/>
      <c r="F58" s="2"/>
      <c r="G58" s="2"/>
      <c r="H58" s="3"/>
    </row>
    <row r="59" spans="1:8" ht="16" thickBot="1" x14ac:dyDescent="0.4">
      <c r="A59" s="9" t="s">
        <v>8</v>
      </c>
      <c r="B59" s="29" t="s">
        <v>9</v>
      </c>
      <c r="C59" s="29"/>
      <c r="D59" s="29"/>
      <c r="E59" s="29"/>
      <c r="F59" s="29"/>
      <c r="G59" s="29"/>
      <c r="H59" s="10">
        <v>1</v>
      </c>
    </row>
    <row r="60" spans="1:8" ht="15.5" x14ac:dyDescent="0.35">
      <c r="A60" s="30" t="s">
        <v>10</v>
      </c>
      <c r="B60" s="32" t="s">
        <v>11</v>
      </c>
      <c r="C60" s="32"/>
      <c r="D60" s="32"/>
      <c r="E60" s="32"/>
      <c r="F60" s="32"/>
      <c r="G60" s="32"/>
      <c r="H60" s="11" t="s">
        <v>12</v>
      </c>
    </row>
    <row r="61" spans="1:8" x14ac:dyDescent="0.35">
      <c r="A61" s="31"/>
      <c r="B61" s="33" t="s">
        <v>13</v>
      </c>
      <c r="C61" s="33" t="s">
        <v>14</v>
      </c>
      <c r="D61" s="33" t="s">
        <v>15</v>
      </c>
      <c r="E61" s="33" t="s">
        <v>16</v>
      </c>
      <c r="F61" s="33" t="s">
        <v>17</v>
      </c>
      <c r="G61" s="33" t="s">
        <v>18</v>
      </c>
      <c r="H61" s="26" t="s">
        <v>19</v>
      </c>
    </row>
    <row r="62" spans="1:8" x14ac:dyDescent="0.35">
      <c r="A62" s="31"/>
      <c r="B62" s="33"/>
      <c r="C62" s="33"/>
      <c r="D62" s="33"/>
      <c r="E62" s="33"/>
      <c r="F62" s="33"/>
      <c r="G62" s="33"/>
      <c r="H62" s="26"/>
    </row>
    <row r="63" spans="1:8" x14ac:dyDescent="0.35">
      <c r="A63" s="12" t="s">
        <v>50</v>
      </c>
      <c r="B63" s="12">
        <v>75</v>
      </c>
      <c r="C63" s="13" t="s">
        <v>20</v>
      </c>
      <c r="D63" s="14">
        <v>1100000</v>
      </c>
      <c r="E63" s="12">
        <v>5000</v>
      </c>
      <c r="F63" s="13" t="s">
        <v>20</v>
      </c>
      <c r="G63" s="15">
        <v>0</v>
      </c>
      <c r="H63" s="14">
        <f>IF(B63&gt;0,(D63+(D63*G63))*B63/E63,0)</f>
        <v>16500</v>
      </c>
    </row>
    <row r="64" spans="1:8" x14ac:dyDescent="0.35">
      <c r="A64" s="19" t="s">
        <v>152</v>
      </c>
      <c r="B64" s="12">
        <v>75</v>
      </c>
      <c r="C64" s="13" t="s">
        <v>20</v>
      </c>
      <c r="D64" s="14">
        <v>32500</v>
      </c>
      <c r="E64" s="12">
        <v>1000</v>
      </c>
      <c r="F64" s="13" t="s">
        <v>20</v>
      </c>
      <c r="G64" s="15">
        <v>0</v>
      </c>
      <c r="H64" s="14">
        <f t="shared" ref="H64:H68" si="2">IF(B64&gt;0,(D64+(D64*G64))*B64/E64,0)</f>
        <v>2437.5</v>
      </c>
    </row>
    <row r="65" spans="1:8" x14ac:dyDescent="0.35">
      <c r="A65" s="19" t="s">
        <v>153</v>
      </c>
      <c r="B65" s="12">
        <v>200</v>
      </c>
      <c r="C65" s="13" t="s">
        <v>20</v>
      </c>
      <c r="D65" s="14">
        <v>29700</v>
      </c>
      <c r="E65" s="12">
        <v>1000</v>
      </c>
      <c r="F65" s="13" t="s">
        <v>20</v>
      </c>
      <c r="G65" s="15">
        <v>0</v>
      </c>
      <c r="H65" s="14">
        <f t="shared" si="2"/>
        <v>5940</v>
      </c>
    </row>
    <row r="66" spans="1:8" x14ac:dyDescent="0.35">
      <c r="A66" s="19" t="s">
        <v>94</v>
      </c>
      <c r="B66" s="12">
        <v>2</v>
      </c>
      <c r="C66" s="13" t="s">
        <v>24</v>
      </c>
      <c r="D66" s="14">
        <v>69000</v>
      </c>
      <c r="E66" s="12">
        <v>30</v>
      </c>
      <c r="F66" s="13" t="s">
        <v>24</v>
      </c>
      <c r="G66" s="15">
        <v>0</v>
      </c>
      <c r="H66" s="14">
        <f t="shared" si="2"/>
        <v>4600</v>
      </c>
    </row>
    <row r="67" spans="1:8" x14ac:dyDescent="0.35">
      <c r="A67" s="19" t="s">
        <v>132</v>
      </c>
      <c r="B67" s="12">
        <v>450</v>
      </c>
      <c r="C67" s="13" t="s">
        <v>20</v>
      </c>
      <c r="D67" s="14">
        <v>21600</v>
      </c>
      <c r="E67" s="12">
        <v>1000</v>
      </c>
      <c r="F67" s="13" t="s">
        <v>20</v>
      </c>
      <c r="G67" s="15">
        <v>0</v>
      </c>
      <c r="H67" s="14">
        <f t="shared" si="2"/>
        <v>9720</v>
      </c>
    </row>
    <row r="68" spans="1:8" x14ac:dyDescent="0.35">
      <c r="A68" s="19" t="s">
        <v>154</v>
      </c>
      <c r="B68" s="12">
        <v>5</v>
      </c>
      <c r="C68" s="13" t="s">
        <v>26</v>
      </c>
      <c r="D68" s="14">
        <v>65120</v>
      </c>
      <c r="E68" s="12">
        <v>100</v>
      </c>
      <c r="F68" s="13" t="s">
        <v>26</v>
      </c>
      <c r="G68" s="15">
        <v>0</v>
      </c>
      <c r="H68" s="14">
        <f t="shared" si="2"/>
        <v>3256</v>
      </c>
    </row>
    <row r="69" spans="1:8" x14ac:dyDescent="0.35">
      <c r="D69" s="17" t="s">
        <v>31</v>
      </c>
      <c r="E69" s="17"/>
      <c r="F69" s="17"/>
      <c r="G69" s="17"/>
      <c r="H69" s="18">
        <f>SUM(H63:H68)</f>
        <v>42453.5</v>
      </c>
    </row>
    <row r="70" spans="1:8" x14ac:dyDescent="0.35">
      <c r="D70" s="17" t="s">
        <v>32</v>
      </c>
      <c r="E70" s="17"/>
      <c r="F70" s="17"/>
      <c r="G70" s="17"/>
      <c r="H70" s="18">
        <f>H69*0.15</f>
        <v>6368.0249999999996</v>
      </c>
    </row>
    <row r="71" spans="1:8" x14ac:dyDescent="0.35">
      <c r="D71" s="12" t="s">
        <v>12</v>
      </c>
      <c r="E71" s="12"/>
      <c r="F71" s="12"/>
      <c r="G71" s="12"/>
      <c r="H71" s="14">
        <f>H69+H70</f>
        <v>48821.525000000001</v>
      </c>
    </row>
    <row r="72" spans="1:8" x14ac:dyDescent="0.35">
      <c r="D72" s="12" t="s">
        <v>33</v>
      </c>
      <c r="E72" s="12"/>
      <c r="F72" s="12"/>
      <c r="G72" s="12"/>
      <c r="H72" s="14">
        <f>H71/H59</f>
        <v>48821.525000000001</v>
      </c>
    </row>
    <row r="73" spans="1:8" x14ac:dyDescent="0.35">
      <c r="D73" s="12" t="s">
        <v>34</v>
      </c>
      <c r="E73" s="12"/>
      <c r="F73" s="12"/>
      <c r="G73" s="12"/>
      <c r="H73" s="21">
        <v>48821</v>
      </c>
    </row>
    <row r="74" spans="1:8" x14ac:dyDescent="0.35">
      <c r="D74" s="12" t="s">
        <v>35</v>
      </c>
      <c r="E74" s="12"/>
      <c r="F74" s="12"/>
      <c r="G74" s="12"/>
      <c r="H74" s="15">
        <f>H72/H73</f>
        <v>1.0000107535691609</v>
      </c>
    </row>
    <row r="75" spans="1:8" x14ac:dyDescent="0.35">
      <c r="D75" s="12" t="s">
        <v>36</v>
      </c>
      <c r="E75" s="12"/>
      <c r="F75" s="12"/>
      <c r="G75" s="12"/>
      <c r="H75" s="14">
        <f>H73-H72</f>
        <v>-0.52500000000145519</v>
      </c>
    </row>
    <row r="78" spans="1:8" ht="21.5" thickBot="1" x14ac:dyDescent="0.55000000000000004">
      <c r="A78" s="27" t="s">
        <v>0</v>
      </c>
      <c r="B78" s="28"/>
      <c r="C78" s="28"/>
      <c r="D78" s="28"/>
      <c r="E78" s="28"/>
      <c r="F78" s="28"/>
      <c r="G78" s="28"/>
    </row>
    <row r="79" spans="1:8" x14ac:dyDescent="0.35">
      <c r="A79" s="1"/>
      <c r="B79" s="2"/>
      <c r="C79" s="2"/>
      <c r="D79" s="2"/>
      <c r="E79" s="2"/>
      <c r="F79" s="2"/>
      <c r="G79" s="2"/>
      <c r="H79" s="3"/>
    </row>
    <row r="80" spans="1:8" x14ac:dyDescent="0.35">
      <c r="A80" s="4" t="s">
        <v>1</v>
      </c>
      <c r="B80" t="s">
        <v>2</v>
      </c>
      <c r="H80" s="5"/>
    </row>
    <row r="81" spans="1:8" x14ac:dyDescent="0.35">
      <c r="A81" s="4" t="s">
        <v>3</v>
      </c>
      <c r="B81" t="s">
        <v>4</v>
      </c>
      <c r="H81" s="5"/>
    </row>
    <row r="82" spans="1:8" x14ac:dyDescent="0.35">
      <c r="A82" s="4" t="s">
        <v>5</v>
      </c>
      <c r="B82" t="s">
        <v>155</v>
      </c>
      <c r="H82" s="5"/>
    </row>
    <row r="83" spans="1:8" x14ac:dyDescent="0.35">
      <c r="A83" s="4" t="s">
        <v>6</v>
      </c>
      <c r="B83" s="25">
        <v>46208</v>
      </c>
      <c r="H83" s="5"/>
    </row>
    <row r="84" spans="1:8" ht="15" thickBot="1" x14ac:dyDescent="0.4">
      <c r="A84" s="6" t="s">
        <v>7</v>
      </c>
      <c r="B84" s="7"/>
      <c r="C84" s="7"/>
      <c r="D84" s="7"/>
      <c r="E84" s="7"/>
      <c r="F84" s="7"/>
      <c r="G84" s="7"/>
      <c r="H84" s="8"/>
    </row>
    <row r="85" spans="1:8" ht="15" thickBot="1" x14ac:dyDescent="0.4">
      <c r="A85" s="1"/>
      <c r="B85" s="2"/>
      <c r="C85" s="2"/>
      <c r="D85" s="2"/>
      <c r="E85" s="2"/>
      <c r="F85" s="2"/>
      <c r="G85" s="2"/>
      <c r="H85" s="3"/>
    </row>
    <row r="86" spans="1:8" ht="16" thickBot="1" x14ac:dyDescent="0.4">
      <c r="A86" s="9" t="s">
        <v>8</v>
      </c>
      <c r="B86" s="29" t="s">
        <v>9</v>
      </c>
      <c r="C86" s="29"/>
      <c r="D86" s="29"/>
      <c r="E86" s="29"/>
      <c r="F86" s="29"/>
      <c r="G86" s="29"/>
      <c r="H86" s="10">
        <v>1</v>
      </c>
    </row>
    <row r="87" spans="1:8" ht="15.5" x14ac:dyDescent="0.35">
      <c r="A87" s="30" t="s">
        <v>10</v>
      </c>
      <c r="B87" s="32" t="s">
        <v>11</v>
      </c>
      <c r="C87" s="32"/>
      <c r="D87" s="32"/>
      <c r="E87" s="32"/>
      <c r="F87" s="32"/>
      <c r="G87" s="32"/>
      <c r="H87" s="11" t="s">
        <v>12</v>
      </c>
    </row>
    <row r="88" spans="1:8" x14ac:dyDescent="0.35">
      <c r="A88" s="31"/>
      <c r="B88" s="33" t="s">
        <v>13</v>
      </c>
      <c r="C88" s="33" t="s">
        <v>14</v>
      </c>
      <c r="D88" s="33" t="s">
        <v>15</v>
      </c>
      <c r="E88" s="33" t="s">
        <v>16</v>
      </c>
      <c r="F88" s="33" t="s">
        <v>17</v>
      </c>
      <c r="G88" s="33" t="s">
        <v>18</v>
      </c>
      <c r="H88" s="26" t="s">
        <v>19</v>
      </c>
    </row>
    <row r="89" spans="1:8" x14ac:dyDescent="0.35">
      <c r="A89" s="31"/>
      <c r="B89" s="33"/>
      <c r="C89" s="33"/>
      <c r="D89" s="33"/>
      <c r="E89" s="33"/>
      <c r="F89" s="33"/>
      <c r="G89" s="33"/>
      <c r="H89" s="26"/>
    </row>
    <row r="90" spans="1:8" x14ac:dyDescent="0.35">
      <c r="A90" s="12" t="s">
        <v>156</v>
      </c>
      <c r="B90" s="12">
        <v>250</v>
      </c>
      <c r="C90" s="13" t="s">
        <v>20</v>
      </c>
      <c r="D90" s="14">
        <v>127037</v>
      </c>
      <c r="E90" s="12">
        <v>1000</v>
      </c>
      <c r="F90" s="13" t="s">
        <v>20</v>
      </c>
      <c r="G90" s="15">
        <v>0</v>
      </c>
      <c r="H90" s="14">
        <f>IF(B90&gt;0,(D90+(D90*G90))*B90/E90,0)</f>
        <v>31759.25</v>
      </c>
    </row>
    <row r="91" spans="1:8" x14ac:dyDescent="0.35">
      <c r="A91" s="19" t="s">
        <v>85</v>
      </c>
      <c r="B91" s="12">
        <v>100</v>
      </c>
      <c r="C91" s="13" t="s">
        <v>20</v>
      </c>
      <c r="D91" s="14">
        <v>189000</v>
      </c>
      <c r="E91" s="12">
        <v>1000</v>
      </c>
      <c r="F91" s="13" t="s">
        <v>20</v>
      </c>
      <c r="G91" s="15">
        <v>0</v>
      </c>
      <c r="H91" s="14">
        <f t="shared" ref="H91:H94" si="3">IF(B91&gt;0,(D91+(D91*G91))*B91/E91,0)</f>
        <v>18900</v>
      </c>
    </row>
    <row r="92" spans="1:8" x14ac:dyDescent="0.35">
      <c r="A92" s="19" t="s">
        <v>108</v>
      </c>
      <c r="B92" s="12">
        <v>60</v>
      </c>
      <c r="C92" s="13" t="s">
        <v>20</v>
      </c>
      <c r="D92" s="14">
        <v>75318.92</v>
      </c>
      <c r="E92" s="12">
        <v>1000</v>
      </c>
      <c r="F92" s="13" t="s">
        <v>20</v>
      </c>
      <c r="G92" s="15">
        <v>0</v>
      </c>
      <c r="H92" s="14">
        <f t="shared" si="3"/>
        <v>4519.1352000000006</v>
      </c>
    </row>
    <row r="93" spans="1:8" x14ac:dyDescent="0.35">
      <c r="A93" s="19" t="s">
        <v>149</v>
      </c>
      <c r="B93" s="12">
        <v>10</v>
      </c>
      <c r="C93" s="13" t="s">
        <v>20</v>
      </c>
      <c r="D93" s="14">
        <v>13004.53</v>
      </c>
      <c r="E93" s="12">
        <v>1000</v>
      </c>
      <c r="F93" s="13" t="s">
        <v>20</v>
      </c>
      <c r="G93" s="15">
        <v>0</v>
      </c>
      <c r="H93" s="14">
        <f t="shared" si="3"/>
        <v>130.0453</v>
      </c>
    </row>
    <row r="94" spans="1:8" x14ac:dyDescent="0.35">
      <c r="A94" s="19" t="s">
        <v>157</v>
      </c>
      <c r="B94" s="12">
        <v>50</v>
      </c>
      <c r="C94" s="13" t="s">
        <v>26</v>
      </c>
      <c r="D94" s="14">
        <v>64000</v>
      </c>
      <c r="E94" s="12">
        <v>330</v>
      </c>
      <c r="F94" s="13" t="s">
        <v>26</v>
      </c>
      <c r="G94" s="15">
        <v>0</v>
      </c>
      <c r="H94" s="14">
        <f t="shared" si="3"/>
        <v>9696.9696969696961</v>
      </c>
    </row>
    <row r="95" spans="1:8" x14ac:dyDescent="0.35">
      <c r="D95" s="17" t="s">
        <v>31</v>
      </c>
      <c r="E95" s="17"/>
      <c r="F95" s="17"/>
      <c r="G95" s="17"/>
      <c r="H95" s="18">
        <f>SUM(H90:H94)</f>
        <v>65005.400196969698</v>
      </c>
    </row>
    <row r="96" spans="1:8" x14ac:dyDescent="0.35">
      <c r="D96" s="17" t="s">
        <v>32</v>
      </c>
      <c r="E96" s="17"/>
      <c r="F96" s="17"/>
      <c r="G96" s="17"/>
      <c r="H96" s="18">
        <f>H95*0.15</f>
        <v>9750.8100295454551</v>
      </c>
    </row>
    <row r="97" spans="1:8" x14ac:dyDescent="0.35">
      <c r="D97" s="12" t="s">
        <v>12</v>
      </c>
      <c r="E97" s="12"/>
      <c r="F97" s="12"/>
      <c r="G97" s="12"/>
      <c r="H97" s="14">
        <f>H95+H96</f>
        <v>74756.210226515148</v>
      </c>
    </row>
    <row r="98" spans="1:8" x14ac:dyDescent="0.35">
      <c r="D98" s="12" t="s">
        <v>33</v>
      </c>
      <c r="E98" s="12"/>
      <c r="F98" s="12"/>
      <c r="G98" s="12"/>
      <c r="H98" s="14">
        <f>H97/H86</f>
        <v>74756.210226515148</v>
      </c>
    </row>
    <row r="99" spans="1:8" x14ac:dyDescent="0.35">
      <c r="D99" s="12" t="s">
        <v>34</v>
      </c>
      <c r="E99" s="12"/>
      <c r="F99" s="12"/>
      <c r="G99" s="12"/>
      <c r="H99" s="21">
        <v>74756</v>
      </c>
    </row>
    <row r="100" spans="1:8" x14ac:dyDescent="0.35">
      <c r="D100" s="12" t="s">
        <v>35</v>
      </c>
      <c r="E100" s="12"/>
      <c r="F100" s="12"/>
      <c r="G100" s="12"/>
      <c r="H100" s="15">
        <f>H98/H99</f>
        <v>1.0000028121691256</v>
      </c>
    </row>
    <row r="101" spans="1:8" x14ac:dyDescent="0.35">
      <c r="D101" s="12" t="s">
        <v>36</v>
      </c>
      <c r="E101" s="12"/>
      <c r="F101" s="12"/>
      <c r="G101" s="12"/>
      <c r="H101" s="14">
        <f>H99-H98</f>
        <v>-0.21022651514795143</v>
      </c>
    </row>
    <row r="103" spans="1:8" ht="21.5" thickBot="1" x14ac:dyDescent="0.55000000000000004">
      <c r="A103" s="27" t="s">
        <v>0</v>
      </c>
      <c r="B103" s="28"/>
      <c r="C103" s="28"/>
      <c r="D103" s="28"/>
      <c r="E103" s="28"/>
      <c r="F103" s="28"/>
      <c r="G103" s="28"/>
    </row>
    <row r="104" spans="1:8" x14ac:dyDescent="0.35">
      <c r="A104" s="1"/>
      <c r="B104" s="2"/>
      <c r="C104" s="2"/>
      <c r="D104" s="2"/>
      <c r="E104" s="2"/>
      <c r="F104" s="2"/>
      <c r="G104" s="2"/>
      <c r="H104" s="3"/>
    </row>
    <row r="105" spans="1:8" x14ac:dyDescent="0.35">
      <c r="A105" s="4" t="s">
        <v>1</v>
      </c>
      <c r="B105" t="s">
        <v>2</v>
      </c>
      <c r="H105" s="5"/>
    </row>
    <row r="106" spans="1:8" x14ac:dyDescent="0.35">
      <c r="A106" s="4" t="s">
        <v>3</v>
      </c>
      <c r="B106" t="s">
        <v>4</v>
      </c>
      <c r="H106" s="5"/>
    </row>
    <row r="107" spans="1:8" x14ac:dyDescent="0.35">
      <c r="A107" s="4" t="s">
        <v>5</v>
      </c>
      <c r="B107" t="s">
        <v>158</v>
      </c>
      <c r="H107" s="5"/>
    </row>
    <row r="108" spans="1:8" x14ac:dyDescent="0.35">
      <c r="A108" s="4" t="s">
        <v>6</v>
      </c>
      <c r="B108" s="25">
        <v>46208</v>
      </c>
      <c r="H108" s="5"/>
    </row>
    <row r="109" spans="1:8" ht="15" thickBot="1" x14ac:dyDescent="0.4">
      <c r="A109" s="6" t="s">
        <v>7</v>
      </c>
      <c r="B109" s="7"/>
      <c r="C109" s="7"/>
      <c r="D109" s="7"/>
      <c r="E109" s="7"/>
      <c r="F109" s="7"/>
      <c r="G109" s="7"/>
      <c r="H109" s="8"/>
    </row>
    <row r="110" spans="1:8" ht="15" thickBot="1" x14ac:dyDescent="0.4">
      <c r="A110" s="1"/>
      <c r="B110" s="2"/>
      <c r="C110" s="2"/>
      <c r="D110" s="2"/>
      <c r="E110" s="2"/>
      <c r="F110" s="2"/>
      <c r="G110" s="2"/>
      <c r="H110" s="3"/>
    </row>
    <row r="111" spans="1:8" ht="16" thickBot="1" x14ac:dyDescent="0.4">
      <c r="A111" s="9" t="s">
        <v>8</v>
      </c>
      <c r="B111" s="29" t="s">
        <v>9</v>
      </c>
      <c r="C111" s="29"/>
      <c r="D111" s="29"/>
      <c r="E111" s="29"/>
      <c r="F111" s="29"/>
      <c r="G111" s="29"/>
      <c r="H111" s="10">
        <v>10</v>
      </c>
    </row>
    <row r="112" spans="1:8" ht="15.5" x14ac:dyDescent="0.35">
      <c r="A112" s="30" t="s">
        <v>10</v>
      </c>
      <c r="B112" s="32" t="s">
        <v>11</v>
      </c>
      <c r="C112" s="32"/>
      <c r="D112" s="32"/>
      <c r="E112" s="32"/>
      <c r="F112" s="32"/>
      <c r="G112" s="32"/>
      <c r="H112" s="11" t="s">
        <v>12</v>
      </c>
    </row>
    <row r="113" spans="1:8" x14ac:dyDescent="0.35">
      <c r="A113" s="31"/>
      <c r="B113" s="33" t="s">
        <v>13</v>
      </c>
      <c r="C113" s="33" t="s">
        <v>14</v>
      </c>
      <c r="D113" s="33" t="s">
        <v>15</v>
      </c>
      <c r="E113" s="33" t="s">
        <v>16</v>
      </c>
      <c r="F113" s="33" t="s">
        <v>17</v>
      </c>
      <c r="G113" s="33" t="s">
        <v>18</v>
      </c>
      <c r="H113" s="26" t="s">
        <v>19</v>
      </c>
    </row>
    <row r="114" spans="1:8" x14ac:dyDescent="0.35">
      <c r="A114" s="31"/>
      <c r="B114" s="33"/>
      <c r="C114" s="33"/>
      <c r="D114" s="33"/>
      <c r="E114" s="33"/>
      <c r="F114" s="33"/>
      <c r="G114" s="33"/>
      <c r="H114" s="26"/>
    </row>
    <row r="115" spans="1:8" x14ac:dyDescent="0.35">
      <c r="A115" s="12" t="s">
        <v>148</v>
      </c>
      <c r="B115" s="12">
        <v>1</v>
      </c>
      <c r="C115" s="13" t="s">
        <v>175</v>
      </c>
      <c r="D115" s="14">
        <v>43940</v>
      </c>
      <c r="E115" s="12">
        <v>3</v>
      </c>
      <c r="F115" s="13" t="s">
        <v>176</v>
      </c>
      <c r="G115" s="15">
        <v>0</v>
      </c>
      <c r="H115" s="14">
        <f>IF(B115&gt;0,(D115+(D115*G115))*B115/E115,0)</f>
        <v>14646.666666666666</v>
      </c>
    </row>
    <row r="116" spans="1:8" x14ac:dyDescent="0.35">
      <c r="A116" s="19" t="s">
        <v>151</v>
      </c>
      <c r="B116" s="12">
        <v>1</v>
      </c>
      <c r="C116" s="13" t="s">
        <v>24</v>
      </c>
      <c r="D116" s="14">
        <v>48821</v>
      </c>
      <c r="E116" s="12">
        <v>1</v>
      </c>
      <c r="F116" s="13" t="s">
        <v>24</v>
      </c>
      <c r="G116" s="15">
        <v>0</v>
      </c>
      <c r="H116" s="14">
        <f t="shared" ref="H116:H126" si="4">IF(B116&gt;0,(D116+(D116*G116))*B116/E116,0)</f>
        <v>48821</v>
      </c>
    </row>
    <row r="117" spans="1:8" x14ac:dyDescent="0.35">
      <c r="A117" s="19" t="s">
        <v>174</v>
      </c>
      <c r="B117" s="12">
        <v>1</v>
      </c>
      <c r="C117" s="13" t="s">
        <v>170</v>
      </c>
      <c r="D117" s="14">
        <v>74756</v>
      </c>
      <c r="E117" s="12">
        <v>1</v>
      </c>
      <c r="F117" s="13" t="s">
        <v>170</v>
      </c>
      <c r="G117" s="15">
        <v>0</v>
      </c>
      <c r="H117" s="14">
        <f t="shared" si="4"/>
        <v>74756</v>
      </c>
    </row>
    <row r="118" spans="1:8" x14ac:dyDescent="0.35">
      <c r="A118" s="19" t="s">
        <v>150</v>
      </c>
      <c r="B118" s="12">
        <v>300</v>
      </c>
      <c r="C118" s="13" t="s">
        <v>20</v>
      </c>
      <c r="D118" s="14">
        <v>53</v>
      </c>
      <c r="E118" s="12">
        <v>1</v>
      </c>
      <c r="F118" s="13" t="s">
        <v>20</v>
      </c>
      <c r="G118" s="15">
        <v>0</v>
      </c>
      <c r="H118" s="14">
        <f t="shared" si="4"/>
        <v>15900</v>
      </c>
    </row>
    <row r="119" spans="1:8" x14ac:dyDescent="0.35">
      <c r="A119" s="19" t="s">
        <v>159</v>
      </c>
      <c r="B119" s="12">
        <v>200</v>
      </c>
      <c r="C119" s="13" t="s">
        <v>20</v>
      </c>
      <c r="D119" s="14">
        <v>18900</v>
      </c>
      <c r="E119" s="12">
        <v>1000</v>
      </c>
      <c r="F119" s="13" t="s">
        <v>20</v>
      </c>
      <c r="G119" s="15">
        <v>0</v>
      </c>
      <c r="H119" s="14">
        <f t="shared" si="4"/>
        <v>3780</v>
      </c>
    </row>
    <row r="120" spans="1:8" x14ac:dyDescent="0.35">
      <c r="A120" s="19" t="s">
        <v>160</v>
      </c>
      <c r="B120" s="12">
        <v>30</v>
      </c>
      <c r="C120" s="13" t="s">
        <v>20</v>
      </c>
      <c r="D120" s="14">
        <v>682500</v>
      </c>
      <c r="E120" s="12">
        <v>750</v>
      </c>
      <c r="F120" s="13" t="s">
        <v>20</v>
      </c>
      <c r="G120" s="15">
        <v>0</v>
      </c>
      <c r="H120" s="14">
        <f t="shared" si="4"/>
        <v>27300</v>
      </c>
    </row>
    <row r="121" spans="1:8" x14ac:dyDescent="0.35">
      <c r="A121" s="19" t="s">
        <v>161</v>
      </c>
      <c r="B121" s="12">
        <v>100</v>
      </c>
      <c r="C121" s="13" t="s">
        <v>20</v>
      </c>
      <c r="D121" s="14">
        <v>246524.66</v>
      </c>
      <c r="E121" s="12">
        <v>1000</v>
      </c>
      <c r="F121" s="13" t="s">
        <v>20</v>
      </c>
      <c r="G121" s="15">
        <v>0</v>
      </c>
      <c r="H121" s="14">
        <f t="shared" si="4"/>
        <v>24652.466</v>
      </c>
    </row>
    <row r="122" spans="1:8" x14ac:dyDescent="0.35">
      <c r="A122" s="19" t="s">
        <v>164</v>
      </c>
      <c r="B122" s="12">
        <v>100</v>
      </c>
      <c r="C122" s="13" t="s">
        <v>20</v>
      </c>
      <c r="D122" s="14">
        <v>110526</v>
      </c>
      <c r="E122" s="12">
        <v>1000</v>
      </c>
      <c r="F122" s="13" t="s">
        <v>20</v>
      </c>
      <c r="G122" s="15">
        <v>0</v>
      </c>
      <c r="H122" s="14">
        <f t="shared" si="4"/>
        <v>11052.6</v>
      </c>
    </row>
    <row r="123" spans="1:8" x14ac:dyDescent="0.35">
      <c r="A123" s="19" t="s">
        <v>165</v>
      </c>
      <c r="B123" s="12">
        <v>100</v>
      </c>
      <c r="C123" s="13" t="s">
        <v>20</v>
      </c>
      <c r="D123" s="14">
        <v>45000</v>
      </c>
      <c r="E123" s="12">
        <v>1000</v>
      </c>
      <c r="F123" s="13" t="s">
        <v>20</v>
      </c>
      <c r="G123" s="15">
        <v>0</v>
      </c>
      <c r="H123" s="14">
        <f t="shared" si="4"/>
        <v>4500</v>
      </c>
    </row>
    <row r="124" spans="1:8" x14ac:dyDescent="0.35">
      <c r="A124" s="19" t="s">
        <v>166</v>
      </c>
      <c r="B124" s="12">
        <v>100</v>
      </c>
      <c r="C124" s="13" t="s">
        <v>20</v>
      </c>
      <c r="D124" s="14">
        <v>127037</v>
      </c>
      <c r="E124" s="12">
        <v>1000</v>
      </c>
      <c r="F124" s="13" t="s">
        <v>20</v>
      </c>
      <c r="G124" s="15">
        <v>0</v>
      </c>
      <c r="H124" s="14">
        <f t="shared" si="4"/>
        <v>12703.7</v>
      </c>
    </row>
    <row r="125" spans="1:8" x14ac:dyDescent="0.35">
      <c r="A125" s="19" t="s">
        <v>167</v>
      </c>
      <c r="B125" s="12">
        <v>100</v>
      </c>
      <c r="C125" s="13" t="s">
        <v>20</v>
      </c>
      <c r="D125" s="14">
        <v>60424</v>
      </c>
      <c r="E125" s="12">
        <v>1000</v>
      </c>
      <c r="F125" s="13" t="s">
        <v>20</v>
      </c>
      <c r="G125" s="15">
        <v>0</v>
      </c>
      <c r="H125" s="14">
        <f t="shared" si="4"/>
        <v>6042.4</v>
      </c>
    </row>
    <row r="126" spans="1:8" x14ac:dyDescent="0.35">
      <c r="A126" s="19" t="s">
        <v>168</v>
      </c>
      <c r="B126" s="12">
        <v>1</v>
      </c>
      <c r="C126" s="13" t="s">
        <v>169</v>
      </c>
      <c r="D126" s="14">
        <v>6000</v>
      </c>
      <c r="E126" s="12">
        <v>1</v>
      </c>
      <c r="F126" s="13" t="s">
        <v>169</v>
      </c>
      <c r="G126" s="15">
        <v>0</v>
      </c>
      <c r="H126" s="14">
        <f t="shared" si="4"/>
        <v>6000</v>
      </c>
    </row>
    <row r="127" spans="1:8" x14ac:dyDescent="0.35">
      <c r="D127" s="17" t="s">
        <v>31</v>
      </c>
      <c r="E127" s="17"/>
      <c r="F127" s="17"/>
      <c r="G127" s="17"/>
      <c r="H127" s="18">
        <f>SUM(H115:H126)</f>
        <v>250154.83266666665</v>
      </c>
    </row>
    <row r="128" spans="1:8" x14ac:dyDescent="0.35">
      <c r="D128" s="17" t="s">
        <v>32</v>
      </c>
      <c r="E128" s="17"/>
      <c r="F128" s="17"/>
      <c r="G128" s="17"/>
      <c r="H128" s="18">
        <f>H127*0.15</f>
        <v>37523.224899999994</v>
      </c>
    </row>
    <row r="129" spans="4:8" x14ac:dyDescent="0.35">
      <c r="D129" s="12" t="s">
        <v>12</v>
      </c>
      <c r="E129" s="12"/>
      <c r="F129" s="12"/>
      <c r="G129" s="12"/>
      <c r="H129" s="14">
        <f>H127+H128</f>
        <v>287678.05756666663</v>
      </c>
    </row>
    <row r="130" spans="4:8" x14ac:dyDescent="0.35">
      <c r="D130" s="12" t="s">
        <v>33</v>
      </c>
      <c r="E130" s="12"/>
      <c r="F130" s="12"/>
      <c r="G130" s="12"/>
      <c r="H130" s="14">
        <f>H129/H111</f>
        <v>28767.805756666661</v>
      </c>
    </row>
    <row r="131" spans="4:8" x14ac:dyDescent="0.35">
      <c r="D131" s="12" t="s">
        <v>34</v>
      </c>
      <c r="E131" s="12"/>
      <c r="F131" s="12"/>
      <c r="G131" s="12"/>
      <c r="H131" s="21">
        <v>90000</v>
      </c>
    </row>
    <row r="132" spans="4:8" x14ac:dyDescent="0.35">
      <c r="D132" s="12" t="s">
        <v>35</v>
      </c>
      <c r="E132" s="12"/>
      <c r="F132" s="12"/>
      <c r="G132" s="12"/>
      <c r="H132" s="15">
        <f>H130/H131</f>
        <v>0.31964228618518514</v>
      </c>
    </row>
    <row r="133" spans="4:8" x14ac:dyDescent="0.35">
      <c r="D133" s="12" t="s">
        <v>36</v>
      </c>
      <c r="E133" s="12"/>
      <c r="F133" s="12"/>
      <c r="G133" s="12"/>
      <c r="H133" s="14">
        <f>H131-H130</f>
        <v>61232.194243333339</v>
      </c>
    </row>
  </sheetData>
  <mergeCells count="55">
    <mergeCell ref="H88:H89"/>
    <mergeCell ref="A103:G103"/>
    <mergeCell ref="B111:G111"/>
    <mergeCell ref="A112:A114"/>
    <mergeCell ref="B112:G112"/>
    <mergeCell ref="B113:B114"/>
    <mergeCell ref="C113:C114"/>
    <mergeCell ref="D113:D114"/>
    <mergeCell ref="E113:E114"/>
    <mergeCell ref="F113:F114"/>
    <mergeCell ref="G113:G114"/>
    <mergeCell ref="H113:H114"/>
    <mergeCell ref="A78:G78"/>
    <mergeCell ref="B86:G86"/>
    <mergeCell ref="A87:A89"/>
    <mergeCell ref="B87:G87"/>
    <mergeCell ref="B88:B89"/>
    <mergeCell ref="C88:C89"/>
    <mergeCell ref="D88:D89"/>
    <mergeCell ref="E88:E89"/>
    <mergeCell ref="F88:F89"/>
    <mergeCell ref="G88:G89"/>
    <mergeCell ref="H35:H36"/>
    <mergeCell ref="A51:G51"/>
    <mergeCell ref="B59:G59"/>
    <mergeCell ref="A60:A62"/>
    <mergeCell ref="B60:G60"/>
    <mergeCell ref="B61:B62"/>
    <mergeCell ref="C61:C62"/>
    <mergeCell ref="D61:D62"/>
    <mergeCell ref="E61:E62"/>
    <mergeCell ref="F61:F62"/>
    <mergeCell ref="G61:G62"/>
    <mergeCell ref="H61:H62"/>
    <mergeCell ref="A25:G25"/>
    <mergeCell ref="B33:G33"/>
    <mergeCell ref="A34:A36"/>
    <mergeCell ref="B34:G34"/>
    <mergeCell ref="B35:B36"/>
    <mergeCell ref="C35:C36"/>
    <mergeCell ref="D35:D36"/>
    <mergeCell ref="E35:E36"/>
    <mergeCell ref="F35:F36"/>
    <mergeCell ref="G35:G36"/>
    <mergeCell ref="H11:H12"/>
    <mergeCell ref="A1:G1"/>
    <mergeCell ref="B9:G9"/>
    <mergeCell ref="A10:A12"/>
    <mergeCell ref="B10:G10"/>
    <mergeCell ref="B11:B12"/>
    <mergeCell ref="C11:C12"/>
    <mergeCell ref="D11:D12"/>
    <mergeCell ref="E11:E12"/>
    <mergeCell ref="F11:F12"/>
    <mergeCell ref="G11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chicken salad hawaiian</vt:lpstr>
      <vt:lpstr>shrimp bisque</vt:lpstr>
      <vt:lpstr>chicken curdon bleu</vt:lpstr>
      <vt:lpstr>onion bread</vt:lpstr>
      <vt:lpstr>black forest cake</vt:lpstr>
      <vt:lpstr>caesar salad</vt:lpstr>
      <vt:lpstr>fish chowder</vt:lpstr>
      <vt:lpstr>breaded chicken cutlet</vt:lpstr>
      <vt:lpstr>focaccia bread</vt:lpstr>
      <vt:lpstr>fruit cake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O G</dc:creator>
  <cp:lastModifiedBy>R O G</cp:lastModifiedBy>
  <dcterms:created xsi:type="dcterms:W3CDTF">2026-05-16T03:51:08Z</dcterms:created>
  <dcterms:modified xsi:type="dcterms:W3CDTF">2026-05-30T14:57:26Z</dcterms:modified>
</cp:coreProperties>
</file>